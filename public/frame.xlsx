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82E592CA-1A5A-44FD-A232-48440642E8C3}" xr6:coauthVersionLast="47" xr6:coauthVersionMax="47" xr10:uidLastSave="{00000000-0000-0000-0000-000000000000}"/>
  <bookViews>
    <workbookView xWindow="3510" yWindow="3510" windowWidth="21600" windowHeight="11295" tabRatio="661" xr2:uid="{00000000-000D-0000-FFFF-FFFF00000000}"/>
  </bookViews>
  <sheets>
    <sheet name="시간표" sheetId="83" r:id="rId1"/>
    <sheet name="selectedDay" sheetId="97" state="hidden" r:id="rId2"/>
    <sheet name="selectedNight" sheetId="98" state="hidden" r:id="rId3"/>
    <sheet name="worker0" sheetId="96" state="hidden" r:id="rId4"/>
    <sheet name="worker1" sheetId="95" state="hidden" r:id="rId5"/>
    <sheet name="worker2" sheetId="94" state="hidden" r:id="rId6"/>
    <sheet name="worker3" sheetId="93" state="hidden" r:id="rId7"/>
    <sheet name="worker4" sheetId="92" state="hidden" r:id="rId8"/>
    <sheet name="worker5" sheetId="91" state="hidden" r:id="rId9"/>
    <sheet name="worker6" sheetId="90" state="hidden" r:id="rId10"/>
    <sheet name="worker7" sheetId="88" state="hidden" r:id="rId11"/>
    <sheet name="worker8" sheetId="89" state="hidden" r:id="rId12"/>
    <sheet name="worker9" sheetId="87" state="hidden" r:id="rId13"/>
    <sheet name="worker10" sheetId="86" state="hidden" r:id="rId14"/>
    <sheet name="worker11" sheetId="85" state="hidden" r:id="rId15"/>
    <sheet name="default" sheetId="1" state="hidden" r:id="rId16"/>
    <sheet name="worker" sheetId="2" state="hidden" r:id="rId17"/>
    <sheet name="schedule" sheetId="3" state="hidden" r:id="rId18"/>
    <sheet name="nightWorkCount" sheetId="9" state="hidden" r:id="rId19"/>
    <sheet name="daySchedule" sheetId="4" state="hidden" r:id="rId20"/>
    <sheet name="nightSchedule" sheetId="5" state="hidden" r:id="rId21"/>
    <sheet name="groupCount" sheetId="84" state="hidden" r:id="rId22"/>
    <sheet name="totalSchedule" sheetId="6" state="hidden" r:id="rId23"/>
    <sheet name="groupSchedule" sheetId="7" state="hidden" r:id="rId24"/>
    <sheet name="dayWorkCount" sheetId="8" state="hidden" r:id="rId25"/>
    <sheet name="dayGroupCount" sheetId="10" state="hidden" r:id="rId26"/>
    <sheet name="nightGroupCount" sheetId="11" state="hidden" r:id="rId27"/>
    <sheet name="base" sheetId="12" state="hidden" r:id="rId28"/>
  </sheets>
  <externalReferences>
    <externalReference r:id="rId29"/>
    <externalReference r:id="rId30"/>
  </externalReferences>
  <definedNames>
    <definedName name="_xlnm.Print_Area" localSheetId="0">시간표!$A1:$AI20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0" i="83" l="1"/>
  <c r="AK20" i="83"/>
  <c r="AI20" i="83"/>
  <c r="AL19" i="83"/>
  <c r="AK19" i="83"/>
  <c r="AI19" i="83"/>
  <c r="AL18" i="83"/>
  <c r="AK18" i="83"/>
  <c r="AI18" i="83"/>
  <c r="AL12" i="83"/>
  <c r="AI12" i="83"/>
  <c r="Q3" i="96"/>
  <c r="A2" i="96"/>
  <c r="Q3" i="95"/>
  <c r="A2" i="95"/>
  <c r="Q3" i="94"/>
  <c r="A2" i="94"/>
  <c r="Q3" i="93"/>
  <c r="A2" i="93"/>
  <c r="Q3" i="92"/>
  <c r="A2" i="92"/>
  <c r="Q3" i="91"/>
  <c r="A2" i="91"/>
  <c r="Q3" i="90"/>
  <c r="A2" i="90"/>
  <c r="Q3" i="89"/>
  <c r="A2" i="89"/>
  <c r="Q3" i="88"/>
  <c r="A2" i="88"/>
  <c r="Q3" i="87"/>
  <c r="A2" i="87"/>
  <c r="Q3" i="86"/>
  <c r="A2" i="86"/>
  <c r="A2" i="85"/>
  <c r="Q3" i="85"/>
  <c r="AD33" i="83"/>
  <c r="AC33" i="83"/>
  <c r="AD32" i="83"/>
  <c r="AC32" i="83"/>
  <c r="AD31" i="83"/>
  <c r="AC31" i="83"/>
  <c r="AD30" i="83"/>
  <c r="AC30" i="83"/>
  <c r="AG25" i="83"/>
  <c r="AF25" i="83"/>
  <c r="AE25" i="83"/>
  <c r="AD25" i="83"/>
  <c r="AC25" i="83"/>
  <c r="AB25" i="83"/>
  <c r="AA25" i="83"/>
  <c r="Z25" i="83"/>
  <c r="Y25" i="83"/>
  <c r="X25" i="83"/>
  <c r="W25" i="83"/>
  <c r="V25" i="83"/>
  <c r="U25" i="83"/>
  <c r="T25" i="83"/>
  <c r="S25" i="83"/>
  <c r="R25" i="83"/>
  <c r="Q25" i="83"/>
  <c r="P25" i="83"/>
  <c r="O25" i="83"/>
  <c r="N25" i="83"/>
  <c r="M25" i="83"/>
  <c r="L25" i="83"/>
  <c r="K25" i="83"/>
  <c r="J25" i="83"/>
  <c r="I25" i="83"/>
  <c r="H25" i="83"/>
  <c r="G25" i="83"/>
  <c r="F25" i="83"/>
  <c r="E25" i="83"/>
  <c r="D25" i="83"/>
  <c r="C25" i="83"/>
  <c r="AG24" i="83"/>
  <c r="AF24" i="83"/>
  <c r="AE24" i="83"/>
  <c r="AD24" i="83"/>
  <c r="AC24" i="83"/>
  <c r="AB24" i="83"/>
  <c r="AA24" i="83"/>
  <c r="Z24" i="83"/>
  <c r="Y24" i="83"/>
  <c r="X24" i="83"/>
  <c r="W24" i="83"/>
  <c r="V24" i="83"/>
  <c r="U24" i="83"/>
  <c r="T24" i="83"/>
  <c r="S24" i="83"/>
  <c r="R24" i="83"/>
  <c r="Q24" i="83"/>
  <c r="P24" i="83"/>
  <c r="O24" i="83"/>
  <c r="N24" i="83"/>
  <c r="M24" i="83"/>
  <c r="L24" i="83"/>
  <c r="K24" i="83"/>
  <c r="J24" i="83"/>
  <c r="I24" i="83"/>
  <c r="H24" i="83"/>
  <c r="G24" i="83"/>
  <c r="F24" i="83"/>
  <c r="E24" i="83"/>
  <c r="D24" i="83"/>
  <c r="C24" i="83"/>
  <c r="AG23" i="83"/>
  <c r="AF23" i="83"/>
  <c r="AE23" i="83"/>
  <c r="AD23" i="83"/>
  <c r="AC23" i="83"/>
  <c r="AB23" i="83"/>
  <c r="AA23" i="83"/>
  <c r="Z23" i="83"/>
  <c r="Y23" i="83"/>
  <c r="X23" i="83"/>
  <c r="W23" i="83"/>
  <c r="V23" i="83"/>
  <c r="U23" i="83"/>
  <c r="T23" i="83"/>
  <c r="S23" i="83"/>
  <c r="R23" i="83"/>
  <c r="Q23" i="83"/>
  <c r="P23" i="83"/>
  <c r="O23" i="83"/>
  <c r="N23" i="83"/>
  <c r="M23" i="83"/>
  <c r="L23" i="83"/>
  <c r="K23" i="83"/>
  <c r="J23" i="83"/>
  <c r="I23" i="83"/>
  <c r="H23" i="83"/>
  <c r="G23" i="83"/>
  <c r="F23" i="83"/>
  <c r="E23" i="83"/>
  <c r="D23" i="83"/>
  <c r="C23" i="83"/>
  <c r="AG22" i="83"/>
  <c r="AF22" i="83"/>
  <c r="AE22" i="83"/>
  <c r="AD22" i="83"/>
  <c r="AC22" i="83"/>
  <c r="AB22" i="83"/>
  <c r="AA22" i="83"/>
  <c r="Z22" i="83"/>
  <c r="Y22" i="83"/>
  <c r="X22" i="83"/>
  <c r="W22" i="83"/>
  <c r="V22" i="83"/>
  <c r="U22" i="83"/>
  <c r="T22" i="83"/>
  <c r="S22" i="83"/>
  <c r="R22" i="83"/>
  <c r="Q22" i="83"/>
  <c r="P22" i="83"/>
  <c r="O22" i="83"/>
  <c r="N22" i="83"/>
  <c r="M22" i="83"/>
  <c r="L22" i="83"/>
  <c r="K22" i="83"/>
  <c r="J22" i="83"/>
  <c r="I22" i="83"/>
  <c r="H22" i="83"/>
  <c r="G22" i="83"/>
  <c r="F22" i="83"/>
  <c r="E22" i="83"/>
  <c r="D22" i="83"/>
  <c r="C22" i="83"/>
  <c r="A1" i="83"/>
  <c r="AL16" i="83" l="1"/>
  <c r="AK12" i="83"/>
  <c r="AL17" i="83"/>
  <c r="AK16" i="83"/>
  <c r="AI16" i="83"/>
  <c r="AI17" i="83"/>
  <c r="AK17" i="83"/>
  <c r="AK15" i="83"/>
  <c r="AL21" i="83"/>
  <c r="AK21" i="83"/>
  <c r="AI21" i="83"/>
  <c r="AL14" i="83"/>
  <c r="AL15" i="83"/>
  <c r="AK14" i="83"/>
  <c r="AI13" i="83"/>
  <c r="AI14" i="83"/>
  <c r="AI15" i="83"/>
  <c r="AL13" i="83"/>
  <c r="AK13" i="83"/>
  <c r="AL10" i="83"/>
  <c r="N27" i="83"/>
  <c r="AL8" i="83"/>
  <c r="AI7" i="83"/>
  <c r="AL6" i="83"/>
  <c r="AL11" i="83"/>
  <c r="AI11" i="83"/>
  <c r="AI6" i="83"/>
  <c r="AI9" i="83"/>
  <c r="AK8" i="83"/>
  <c r="AL9" i="83"/>
  <c r="AD27" i="83"/>
  <c r="V26" i="83"/>
  <c r="N26" i="83"/>
  <c r="F26" i="83"/>
  <c r="AI10" i="83"/>
  <c r="AI8" i="83"/>
  <c r="M26" i="83"/>
  <c r="AL7" i="83"/>
  <c r="AK10" i="83"/>
  <c r="AK6" i="83"/>
  <c r="V27" i="83"/>
  <c r="AC34" i="83"/>
  <c r="AD34" i="83"/>
  <c r="AK11" i="83"/>
  <c r="AK9" i="83"/>
  <c r="AK7" i="83"/>
  <c r="L27" i="83"/>
  <c r="T27" i="83"/>
  <c r="K27" i="83"/>
  <c r="E27" i="83"/>
  <c r="U27" i="83"/>
  <c r="W27" i="83"/>
  <c r="F27" i="83"/>
  <c r="H27" i="83"/>
  <c r="P27" i="83"/>
  <c r="X27" i="83"/>
  <c r="AF27" i="83"/>
  <c r="AB27" i="83"/>
  <c r="AA27" i="83"/>
  <c r="AC27" i="83"/>
  <c r="G27" i="83"/>
  <c r="AE27" i="83"/>
  <c r="Q27" i="83"/>
  <c r="Y27" i="83"/>
  <c r="AG26" i="83"/>
  <c r="E26" i="83"/>
  <c r="S27" i="83"/>
  <c r="M27" i="83"/>
  <c r="AD26" i="83"/>
  <c r="O27" i="83"/>
  <c r="I27" i="83"/>
  <c r="J27" i="83"/>
  <c r="R27" i="83"/>
  <c r="Z27" i="83"/>
  <c r="C26" i="83"/>
  <c r="K26" i="83"/>
  <c r="S26" i="83"/>
  <c r="AA26" i="83"/>
  <c r="C27" i="83"/>
  <c r="D26" i="83"/>
  <c r="L26" i="83"/>
  <c r="T26" i="83"/>
  <c r="AB26" i="83"/>
  <c r="D27" i="83"/>
  <c r="U26" i="83"/>
  <c r="AC26" i="83"/>
  <c r="G26" i="83"/>
  <c r="O26" i="83"/>
  <c r="W26" i="83"/>
  <c r="AE26" i="83"/>
  <c r="H26" i="83"/>
  <c r="P26" i="83"/>
  <c r="X26" i="83"/>
  <c r="AF26" i="83"/>
  <c r="I26" i="83"/>
  <c r="Q26" i="83"/>
  <c r="Y26" i="83"/>
  <c r="J26" i="83"/>
  <c r="R26" i="83"/>
  <c r="Z26" i="83"/>
  <c r="AI27" i="83" l="1"/>
  <c r="AI26" i="83"/>
</calcChain>
</file>

<file path=xl/sharedStrings.xml><?xml version="1.0" encoding="utf-8"?>
<sst xmlns="http://schemas.openxmlformats.org/spreadsheetml/2006/main" count="485" uniqueCount="54">
  <si>
    <t>연번</t>
  </si>
  <si>
    <t>성명</t>
  </si>
  <si>
    <t>주</t>
  </si>
  <si>
    <t>야</t>
  </si>
  <si>
    <t>요청사항</t>
  </si>
  <si>
    <t>A조</t>
  </si>
  <si>
    <t>B조</t>
  </si>
  <si>
    <t>C조</t>
  </si>
  <si>
    <t>D조</t>
  </si>
  <si>
    <t>1인 근무</t>
  </si>
  <si>
    <t>주간조</t>
  </si>
  <si>
    <t>야간조</t>
  </si>
  <si>
    <t xml:space="preserve"> </t>
  </si>
  <si>
    <t>※ 역무팀장 지시사항</t>
  </si>
  <si>
    <t>연가는 가급적 3일이전에 승인을 받고 사용해 주시기 바랍니다.</t>
  </si>
  <si>
    <t>(연병가사용절차 :  해당일 동료요원 근무확인후 -&gt;</t>
  </si>
  <si>
    <t xml:space="preserve"> -&gt;당일 팀장님 승인을 득하고 -&gt; 정규명과장 통보)</t>
  </si>
  <si>
    <t>휴무 정리</t>
  </si>
  <si>
    <t xml:space="preserve">  </t>
  </si>
  <si>
    <t>이경</t>
  </si>
  <si>
    <t>역   장</t>
  </si>
  <si>
    <t>부역장</t>
  </si>
  <si>
    <t>비      고</t>
  </si>
  <si>
    <t>결            재</t>
  </si>
  <si>
    <t>근    태    사    유</t>
  </si>
  <si>
    <t>사 용 기 간(사용일수)</t>
  </si>
  <si>
    <r>
      <t>종별</t>
    </r>
    <r>
      <rPr>
        <sz val="9"/>
        <color rgb="FF000000"/>
        <rFont val="돋움"/>
        <family val="3"/>
        <charset val="129"/>
      </rPr>
      <t>(연/병가)</t>
    </r>
  </si>
  <si>
    <t>근  무  상  황</t>
  </si>
  <si>
    <t>외출</t>
  </si>
  <si>
    <t>확인</t>
  </si>
  <si>
    <t>지각</t>
  </si>
  <si>
    <t>본인</t>
  </si>
  <si>
    <t>조퇴</t>
  </si>
  <si>
    <t>근무형태</t>
  </si>
  <si>
    <t xml:space="preserve">당월병가사용일수 : </t>
  </si>
  <si>
    <t>요일</t>
  </si>
  <si>
    <t xml:space="preserve">총병가사용일수 : </t>
  </si>
  <si>
    <t>날 짜</t>
  </si>
  <si>
    <t>소집일자 : 2025-03-27
소집해제 : 2026-12-26</t>
    <phoneticPr fontId="17" type="noConversion"/>
  </si>
  <si>
    <t>잔여 연가 일수 :</t>
  </si>
  <si>
    <t>본 인</t>
  </si>
  <si>
    <t>당월 사용연가 일수 :</t>
  </si>
  <si>
    <t>총부여 연가 일수 :</t>
  </si>
  <si>
    <t>이름</t>
    <phoneticPr fontId="17" type="noConversion"/>
  </si>
  <si>
    <t>근무지</t>
  </si>
  <si>
    <t>주.야간</t>
  </si>
  <si>
    <t>복무형태</t>
  </si>
  <si>
    <t>재난안전관리</t>
  </si>
  <si>
    <t>복무분야</t>
  </si>
  <si>
    <t xml:space="preserve">수도권동부본부 </t>
  </si>
  <si>
    <t>복무기관</t>
  </si>
  <si>
    <t>010-4266-5457</t>
    <phoneticPr fontId="17" type="noConversion"/>
  </si>
  <si>
    <t>HP</t>
  </si>
  <si>
    <t>일 일 복 무 상 황 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</si>
</sst>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#&quot;일&quot;"/>
  </numFmts>
  <fonts count="32">
    <font>
      <sz val="11"/>
      <color theme="1"/>
      <name val="맑은 고딕"/>
      <family val="2"/>
      <scheme val="minor"/>
    </font>
    <font>
      <b/>
      <sz val="14"/>
      <name val="돋움"/>
      <family val="3"/>
      <charset val="129"/>
    </font>
    <font>
      <sz val="11"/>
      <name val="돋움"/>
      <family val="3"/>
      <charset val="129"/>
    </font>
    <font>
      <sz val="10"/>
      <name val="돋움"/>
      <family val="3"/>
      <charset val="129"/>
    </font>
    <font>
      <u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name val="돋움"/>
      <family val="3"/>
      <charset val="129"/>
    </font>
    <font>
      <sz val="11"/>
      <color theme="1"/>
      <name val="돋움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22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b/>
      <sz val="22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4E1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DCE6F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0" fillId="0" borderId="0">
      <alignment vertical="center"/>
    </xf>
    <xf numFmtId="0" fontId="27" fillId="0" borderId="0">
      <alignment vertical="center"/>
    </xf>
  </cellStyleXfs>
  <cellXfs count="15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5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vertical="center"/>
    </xf>
    <xf numFmtId="0" fontId="7" fillId="3" borderId="7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7" fillId="3" borderId="0" xfId="0" applyFont="1" applyFill="1" applyAlignment="1">
      <alignment horizontal="center"/>
    </xf>
    <xf numFmtId="0" fontId="8" fillId="0" borderId="6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2" fillId="3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0" fillId="0" borderId="0" xfId="1">
      <alignment vertical="center"/>
    </xf>
    <xf numFmtId="0" fontId="24" fillId="0" borderId="1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12" borderId="2" xfId="1" applyFill="1" applyBorder="1">
      <alignment vertical="center"/>
    </xf>
    <xf numFmtId="0" fontId="26" fillId="12" borderId="28" xfId="1" applyFont="1" applyFill="1" applyBorder="1" applyAlignment="1">
      <alignment horizontal="center" vertical="center"/>
    </xf>
    <xf numFmtId="0" fontId="26" fillId="12" borderId="30" xfId="1" applyFont="1" applyFill="1" applyBorder="1" applyAlignment="1">
      <alignment horizontal="center" vertical="center"/>
    </xf>
    <xf numFmtId="0" fontId="20" fillId="0" borderId="1" xfId="1" applyBorder="1">
      <alignment vertical="center"/>
    </xf>
    <xf numFmtId="0" fontId="24" fillId="0" borderId="1" xfId="1" applyFont="1" applyBorder="1">
      <alignment vertical="center"/>
    </xf>
    <xf numFmtId="0" fontId="26" fillId="12" borderId="32" xfId="1" applyFont="1" applyFill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28" fillId="0" borderId="1" xfId="1" applyFont="1" applyBorder="1" applyAlignment="1">
      <alignment horizontal="center" vertical="center"/>
    </xf>
    <xf numFmtId="0" fontId="26" fillId="0" borderId="19" xfId="1" applyFont="1" applyBorder="1">
      <alignment vertical="center"/>
    </xf>
    <xf numFmtId="177" fontId="26" fillId="0" borderId="23" xfId="1" applyNumberFormat="1" applyFont="1" applyBorder="1">
      <alignment vertical="center"/>
    </xf>
    <xf numFmtId="0" fontId="24" fillId="0" borderId="0" xfId="1" applyFont="1">
      <alignment vertical="center"/>
    </xf>
    <xf numFmtId="177" fontId="24" fillId="0" borderId="19" xfId="1" applyNumberFormat="1" applyFont="1" applyBorder="1" applyAlignment="1">
      <alignment vertical="center" wrapText="1"/>
    </xf>
    <xf numFmtId="0" fontId="24" fillId="0" borderId="1" xfId="1" applyFont="1" applyBorder="1" applyAlignment="1">
      <alignment horizontal="center" vertical="center" shrinkToFit="1"/>
    </xf>
    <xf numFmtId="177" fontId="26" fillId="0" borderId="21" xfId="1" applyNumberFormat="1" applyFont="1" applyBorder="1" applyAlignment="1">
      <alignment vertical="center" wrapText="1"/>
    </xf>
    <xf numFmtId="177" fontId="26" fillId="0" borderId="21" xfId="1" applyNumberFormat="1" applyFont="1" applyBorder="1" applyAlignment="1">
      <alignment vertical="center" shrinkToFit="1"/>
    </xf>
    <xf numFmtId="0" fontId="21" fillId="0" borderId="0" xfId="1" applyFont="1">
      <alignment vertical="center"/>
    </xf>
    <xf numFmtId="177" fontId="21" fillId="12" borderId="37" xfId="1" applyNumberFormat="1" applyFont="1" applyFill="1" applyBorder="1" applyAlignment="1">
      <alignment horizontal="center" vertical="center" wrapText="1"/>
    </xf>
    <xf numFmtId="0" fontId="30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4" fillId="13" borderId="41" xfId="1" applyFont="1" applyFill="1" applyBorder="1">
      <alignment vertical="center"/>
    </xf>
    <xf numFmtId="0" fontId="24" fillId="13" borderId="42" xfId="1" applyFont="1" applyFill="1" applyBorder="1">
      <alignment vertical="center"/>
    </xf>
    <xf numFmtId="0" fontId="30" fillId="0" borderId="0" xfId="1" applyFont="1" applyAlignment="1">
      <alignment horizontal="right" vertical="center"/>
    </xf>
    <xf numFmtId="0" fontId="29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16" fillId="0" borderId="1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3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6" fillId="12" borderId="35" xfId="1" applyFont="1" applyFill="1" applyBorder="1" applyAlignment="1">
      <alignment horizontal="left" vertical="center"/>
    </xf>
    <xf numFmtId="0" fontId="26" fillId="12" borderId="31" xfId="1" applyFont="1" applyFill="1" applyBorder="1" applyAlignment="1">
      <alignment horizontal="left" vertical="center"/>
    </xf>
    <xf numFmtId="0" fontId="29" fillId="0" borderId="43" xfId="1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4" fillId="13" borderId="42" xfId="1" applyFont="1" applyFill="1" applyBorder="1" applyAlignment="1">
      <alignment horizontal="center" vertical="center"/>
    </xf>
    <xf numFmtId="0" fontId="24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9" fillId="13" borderId="41" xfId="1" applyFont="1" applyFill="1" applyBorder="1" applyAlignment="1">
      <alignment horizontal="center" vertical="center"/>
    </xf>
    <xf numFmtId="0" fontId="29" fillId="13" borderId="40" xfId="1" applyFont="1" applyFill="1" applyBorder="1" applyAlignment="1">
      <alignment horizontal="center" vertical="center"/>
    </xf>
    <xf numFmtId="0" fontId="26" fillId="12" borderId="39" xfId="1" applyFont="1" applyFill="1" applyBorder="1" applyAlignment="1">
      <alignment horizontal="left" vertical="center" wrapText="1"/>
    </xf>
    <xf numFmtId="0" fontId="26" fillId="12" borderId="38" xfId="1" applyFont="1" applyFill="1" applyBorder="1" applyAlignment="1">
      <alignment horizontal="left" vertical="center" wrapText="1"/>
    </xf>
    <xf numFmtId="0" fontId="26" fillId="12" borderId="36" xfId="1" applyFont="1" applyFill="1" applyBorder="1" applyAlignment="1">
      <alignment horizontal="left" vertical="center" shrinkToFit="1"/>
    </xf>
    <xf numFmtId="0" fontId="26" fillId="12" borderId="29" xfId="1" applyFont="1" applyFill="1" applyBorder="1" applyAlignment="1">
      <alignment horizontal="left" vertical="center" shrinkToFit="1"/>
    </xf>
    <xf numFmtId="0" fontId="26" fillId="12" borderId="36" xfId="1" applyFont="1" applyFill="1" applyBorder="1" applyAlignment="1">
      <alignment horizontal="left" vertical="center" wrapText="1"/>
    </xf>
    <xf numFmtId="0" fontId="26" fillId="12" borderId="29" xfId="1" applyFont="1" applyFill="1" applyBorder="1" applyAlignment="1">
      <alignment horizontal="left" vertical="center" wrapText="1"/>
    </xf>
    <xf numFmtId="0" fontId="26" fillId="12" borderId="34" xfId="1" applyFont="1" applyFill="1" applyBorder="1" applyAlignment="1">
      <alignment horizontal="left" vertical="center" wrapText="1"/>
    </xf>
    <xf numFmtId="0" fontId="26" fillId="12" borderId="33" xfId="1" applyFont="1" applyFill="1" applyBorder="1" applyAlignment="1">
      <alignment horizontal="left" vertical="center" wrapText="1"/>
    </xf>
    <xf numFmtId="0" fontId="21" fillId="0" borderId="6" xfId="1" applyFont="1" applyBorder="1" applyAlignment="1">
      <alignment horizontal="center" vertical="center" wrapText="1"/>
    </xf>
    <xf numFmtId="0" fontId="21" fillId="0" borderId="25" xfId="1" applyFont="1" applyBorder="1" applyAlignment="1">
      <alignment horizontal="center" vertical="center" wrapText="1"/>
    </xf>
    <xf numFmtId="0" fontId="21" fillId="0" borderId="24" xfId="1" applyFont="1" applyBorder="1" applyAlignment="1">
      <alignment horizontal="center" vertical="center" wrapText="1"/>
    </xf>
    <xf numFmtId="0" fontId="26" fillId="12" borderId="34" xfId="1" applyFont="1" applyFill="1" applyBorder="1">
      <alignment vertical="center"/>
    </xf>
    <xf numFmtId="0" fontId="26" fillId="12" borderId="33" xfId="1" applyFont="1" applyFill="1" applyBorder="1">
      <alignment vertical="center"/>
    </xf>
    <xf numFmtId="0" fontId="20" fillId="0" borderId="31" xfId="1" applyBorder="1" applyAlignment="1">
      <alignment horizontal="center" vertical="center"/>
    </xf>
    <xf numFmtId="0" fontId="20" fillId="0" borderId="23" xfId="1" applyBorder="1" applyAlignment="1">
      <alignment horizontal="center" vertical="center"/>
    </xf>
    <xf numFmtId="0" fontId="20" fillId="0" borderId="29" xfId="1" applyBorder="1" applyAlignment="1">
      <alignment horizontal="center" vertical="center"/>
    </xf>
    <xf numFmtId="0" fontId="20" fillId="0" borderId="21" xfId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0" borderId="4" xfId="1" applyBorder="1" applyAlignment="1">
      <alignment horizontal="center" vertical="center"/>
    </xf>
    <xf numFmtId="0" fontId="20" fillId="0" borderId="2" xfId="1" applyBorder="1" applyAlignment="1">
      <alignment horizontal="center" vertical="center"/>
    </xf>
    <xf numFmtId="0" fontId="25" fillId="0" borderId="25" xfId="1" applyFont="1" applyBorder="1" applyAlignment="1">
      <alignment horizontal="center" vertical="center"/>
    </xf>
    <xf numFmtId="0" fontId="20" fillId="0" borderId="27" xfId="1" applyBorder="1" applyAlignment="1">
      <alignment horizontal="center" vertical="center"/>
    </xf>
    <xf numFmtId="0" fontId="20" fillId="0" borderId="26" xfId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0" fillId="0" borderId="20" xfId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0" fillId="0" borderId="22" xfId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0" fillId="0" borderId="18" xfId="1" applyBorder="1" applyAlignment="1">
      <alignment horizontal="center" vertical="center"/>
    </xf>
    <xf numFmtId="0" fontId="21" fillId="0" borderId="18" xfId="1" applyFont="1" applyBorder="1" applyAlignment="1">
      <alignment horizontal="center" vertical="center"/>
    </xf>
    <xf numFmtId="0" fontId="20" fillId="0" borderId="19" xfId="1" applyBorder="1" applyAlignment="1">
      <alignment horizontal="center" vertical="center"/>
    </xf>
  </cellXfs>
  <cellStyles count="3">
    <cellStyle name="표준" xfId="0" builtinId="0"/>
    <cellStyle name="표준 2" xfId="1" xr:uid="{1463EC1F-6E2C-4171-9D4B-37B43A68D7EB}"/>
    <cellStyle name="표준 3" xfId="2" xr:uid="{56DA901B-AC40-412D-8C15-F6514328BF99}"/>
  </cellStyles>
  <dxfs count="589"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49884;&#44036;&#54364;%20(7).xlsx" TargetMode="External"/><Relationship Id="rId1" Type="http://schemas.openxmlformats.org/officeDocument/2006/relationships/externalLinkPath" Target="file:///C:\Users\Damie\Downloads\&#49884;&#44036;&#54364;%20(7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Relationship Id="rId1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시간표"/>
      <sheetName val="ㅈㄱ"/>
      <sheetName val="ㅈㄱ1"/>
      <sheetName val="ㅈㄱ2"/>
      <sheetName val="ㅇㄱ"/>
      <sheetName val="ㅇㄱ1"/>
      <sheetName val="ㅇㄱ2"/>
      <sheetName val="ㅇㄱ3"/>
      <sheetName val="ㅇㄱ4"/>
      <sheetName val="worker8"/>
      <sheetName val="worker9"/>
      <sheetName val="worker10"/>
      <sheetName val="worker11"/>
      <sheetName val="default"/>
      <sheetName val="worker"/>
      <sheetName val="schedule"/>
      <sheetName val="nightWorkCount"/>
      <sheetName val="daySchedule"/>
      <sheetName val="nightSchedule"/>
      <sheetName val="groupCount"/>
      <sheetName val="totalSchedule"/>
      <sheetName val="groupSchedule"/>
      <sheetName val="dayWorkCount"/>
      <sheetName val="dayGroupCount"/>
      <sheetName val="nightGroupCount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>
            <v>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안양역사복스케쥴"/>
      <sheetName val="연가계획표"/>
      <sheetName val="이기백"/>
      <sheetName val="김민석"/>
      <sheetName val="김정호"/>
      <sheetName val="전수현"/>
      <sheetName val="서 일"/>
      <sheetName val="김동윤"/>
      <sheetName val="김형우"/>
      <sheetName val="우승호"/>
      <sheetName val="김동명"/>
      <sheetName val="이강욱"/>
      <sheetName val="박상현"/>
      <sheetName val="이준행"/>
      <sheetName val="김태웅"/>
      <sheetName val="신정헌"/>
      <sheetName val="김성현"/>
      <sheetName val="wild"/>
      <sheetName val="dfg"/>
      <sheetName val="연락처"/>
      <sheetName val="안양역사복스케쥴 (2)"/>
      <sheetName val="안양역사복스케쥴 (3)"/>
    </sheetNames>
    <sheetDataSet>
      <sheetData sheetId="0">
        <row r="1">
          <cell r="B1" t="str">
            <v xml:space="preserve">안양역 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81"/>
  <sheetViews>
    <sheetView tabSelected="1" zoomScaleNormal="100" workbookViewId="0">
      <selection activeCell="C5" sqref="C4:AG5"/>
    </sheetView>
  </sheetViews>
  <sheetFormatPr defaultRowHeight="16.5" customHeight="1"/>
  <cols>
    <col min="1" max="1" width="3.25" customWidth="1"/>
    <col min="2" max="2" width="6.875" customWidth="1"/>
    <col min="3" max="34" width="3.125" customWidth="1"/>
    <col min="35" max="35" width="7.125" customWidth="1"/>
    <col min="36" max="36" width="4" customWidth="1"/>
    <col min="37" max="39" width="3.375" customWidth="1"/>
    <col min="40" max="40" width="21.25" customWidth="1"/>
    <col min="41" max="41" width="3.375" customWidth="1"/>
    <col min="42" max="42" width="2.625" customWidth="1"/>
    <col min="43" max="43" width="3.375" customWidth="1"/>
  </cols>
  <sheetData>
    <row r="1" spans="1:48">
      <c r="A1" s="106" t="str">
        <f>""&amp;default!A1&amp;"월 사회복무요원 근무계획"</f>
        <v>월 사회복무요원 근무계획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"/>
      <c r="AI1" s="2"/>
      <c r="AJ1" s="1"/>
      <c r="AK1" s="1"/>
      <c r="AL1" s="1"/>
      <c r="AM1" s="1"/>
    </row>
    <row r="2" spans="1:48">
      <c r="A2" s="106"/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"/>
      <c r="AI2" s="2"/>
      <c r="AJ2" s="1"/>
      <c r="AK2" s="1"/>
      <c r="AL2" s="1"/>
      <c r="AM2" s="1"/>
    </row>
    <row r="3" spans="1:48" ht="8.1" customHeight="1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3"/>
      <c r="AI3" s="4"/>
      <c r="AJ3" s="5"/>
      <c r="AK3" s="5"/>
      <c r="AL3" s="5"/>
      <c r="AM3" s="5"/>
    </row>
    <row r="4" spans="1:48">
      <c r="A4" s="108" t="s">
        <v>0</v>
      </c>
      <c r="B4" s="108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8"/>
      <c r="AI4" s="9"/>
      <c r="AJ4" s="10"/>
      <c r="AK4" s="85" t="s">
        <v>2</v>
      </c>
      <c r="AL4" s="85" t="s">
        <v>3</v>
      </c>
      <c r="AM4" s="5"/>
      <c r="AN4" s="86" t="s">
        <v>4</v>
      </c>
    </row>
    <row r="5" spans="1:48">
      <c r="A5" s="108"/>
      <c r="B5" s="108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  <c r="AI5" s="9"/>
      <c r="AJ5" s="10"/>
      <c r="AK5" s="85"/>
      <c r="AL5" s="85"/>
      <c r="AM5" s="5"/>
      <c r="AN5" s="87"/>
    </row>
    <row r="6" spans="1:48">
      <c r="A6" s="6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4"/>
      <c r="AI6" s="6">
        <f t="shared" ref="AI6:AI10" si="0">COUNTIF(C6:AH6,"휴")</f>
        <v>0</v>
      </c>
      <c r="AJ6" s="10"/>
      <c r="AK6" s="11">
        <f>COUNTIF(C6:AG6, "주")</f>
        <v>0</v>
      </c>
      <c r="AL6" s="11">
        <f>COUNTIF(C6:AG6, "야")</f>
        <v>0</v>
      </c>
      <c r="AM6" s="15"/>
      <c r="AN6" s="16"/>
      <c r="AO6" s="17"/>
      <c r="AP6" s="17"/>
      <c r="AQ6" s="17"/>
      <c r="AR6" s="18"/>
      <c r="AS6" s="18"/>
      <c r="AT6" s="19"/>
      <c r="AU6" s="18"/>
      <c r="AV6" s="18"/>
    </row>
    <row r="7" spans="1:48">
      <c r="A7" s="6"/>
      <c r="B7" s="12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4"/>
      <c r="AI7" s="6">
        <f>COUNTIF(C7:AH7,"휴")</f>
        <v>0</v>
      </c>
      <c r="AJ7" s="10"/>
      <c r="AK7" s="11">
        <f>COUNTIF(C7:AG7, "주")</f>
        <v>0</v>
      </c>
      <c r="AL7" s="11">
        <f>COUNTIF(C7:AG7, "야")</f>
        <v>0</v>
      </c>
      <c r="AN7" s="16"/>
      <c r="AO7" s="17"/>
      <c r="AP7" s="17"/>
      <c r="AQ7" s="17"/>
      <c r="AR7" s="19"/>
      <c r="AS7" s="18"/>
      <c r="AT7" s="19"/>
      <c r="AU7" s="18"/>
      <c r="AV7" s="18"/>
    </row>
    <row r="8" spans="1:48">
      <c r="A8" s="6"/>
      <c r="B8" s="12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4"/>
      <c r="AI8" s="6">
        <f>COUNTIF(B8:AH8,"휴")</f>
        <v>0</v>
      </c>
      <c r="AJ8" s="10"/>
      <c r="AK8" s="11">
        <f>COUNTIF(B8:AG8, "주")</f>
        <v>0</v>
      </c>
      <c r="AL8" s="11">
        <f>COUNTIF(B8:AG8, "야")</f>
        <v>0</v>
      </c>
      <c r="AM8" s="15"/>
      <c r="AN8" s="16"/>
      <c r="AO8" s="17"/>
      <c r="AP8" s="17"/>
      <c r="AQ8" s="17"/>
      <c r="AR8" s="19"/>
      <c r="AS8" s="18"/>
      <c r="AT8" s="19"/>
      <c r="AU8" s="18"/>
      <c r="AV8" s="18"/>
    </row>
    <row r="9" spans="1:48">
      <c r="A9" s="6"/>
      <c r="B9" s="12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4"/>
      <c r="AI9" s="6">
        <f t="shared" si="0"/>
        <v>0</v>
      </c>
      <c r="AJ9" s="10"/>
      <c r="AK9" s="11">
        <f t="shared" ref="AK9:AK10" si="1">COUNTIF(C9:AG9, "주")</f>
        <v>0</v>
      </c>
      <c r="AL9" s="11">
        <f t="shared" ref="AL9:AL10" si="2">COUNTIF(C9:AG9, "야")</f>
        <v>0</v>
      </c>
      <c r="AN9" s="16"/>
      <c r="AO9" s="17"/>
      <c r="AP9" s="17"/>
      <c r="AQ9" s="17"/>
      <c r="AR9" s="19"/>
      <c r="AS9" s="18"/>
      <c r="AT9" s="19"/>
      <c r="AU9" s="18"/>
      <c r="AV9" s="18"/>
    </row>
    <row r="10" spans="1:48">
      <c r="A10" s="6"/>
      <c r="B10" s="1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4"/>
      <c r="AI10" s="6">
        <f t="shared" si="0"/>
        <v>0</v>
      </c>
      <c r="AJ10" s="10"/>
      <c r="AK10" s="11">
        <f t="shared" si="1"/>
        <v>0</v>
      </c>
      <c r="AL10" s="11">
        <f t="shared" si="2"/>
        <v>0</v>
      </c>
      <c r="AM10" s="15"/>
      <c r="AN10" s="16"/>
      <c r="AO10" s="17"/>
      <c r="AP10" s="17"/>
      <c r="AQ10" s="17"/>
      <c r="AR10" s="19"/>
      <c r="AS10" s="18"/>
      <c r="AT10" s="18"/>
      <c r="AU10" s="18"/>
      <c r="AV10" s="18"/>
    </row>
    <row r="11" spans="1:48">
      <c r="A11" s="6"/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0"/>
      <c r="AI11" s="6">
        <f>COUNTIF(C11:AH11,"휴")</f>
        <v>0</v>
      </c>
      <c r="AJ11" s="10"/>
      <c r="AK11" s="11">
        <f t="shared" ref="AK11:AK21" si="3">COUNTIF(C11:AG11, "주")</f>
        <v>0</v>
      </c>
      <c r="AL11" s="11">
        <f t="shared" ref="AL11:AL21" si="4">COUNTIF(C11:AG11, "야")</f>
        <v>0</v>
      </c>
      <c r="AN11" s="16"/>
      <c r="AO11" s="17"/>
      <c r="AP11" s="17"/>
      <c r="AQ11" s="17"/>
      <c r="AR11" s="19"/>
      <c r="AS11" s="18"/>
      <c r="AT11" s="19"/>
      <c r="AU11" s="18"/>
      <c r="AV11" s="18"/>
    </row>
    <row r="12" spans="1:48">
      <c r="A12" s="6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4"/>
      <c r="AI12" s="6">
        <f t="shared" ref="AI12" si="5">COUNTIF(B12:AH12,"휴")</f>
        <v>0</v>
      </c>
      <c r="AJ12" s="10"/>
      <c r="AK12" s="11">
        <f t="shared" si="3"/>
        <v>0</v>
      </c>
      <c r="AL12" s="11">
        <f t="shared" si="4"/>
        <v>0</v>
      </c>
      <c r="AN12" s="16"/>
      <c r="AO12" s="17"/>
      <c r="AP12" s="17"/>
      <c r="AQ12" s="17"/>
      <c r="AR12" s="19"/>
      <c r="AS12" s="18"/>
      <c r="AT12" s="19"/>
      <c r="AU12" s="18"/>
      <c r="AV12" s="18"/>
    </row>
    <row r="13" spans="1:48">
      <c r="A13" s="6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4"/>
      <c r="AI13" s="6">
        <f t="shared" ref="AI13" si="6">COUNTIF(B13:AH13,"휴")</f>
        <v>0</v>
      </c>
      <c r="AJ13" s="10"/>
      <c r="AK13" s="11">
        <f t="shared" si="3"/>
        <v>0</v>
      </c>
      <c r="AL13" s="11">
        <f t="shared" si="4"/>
        <v>0</v>
      </c>
      <c r="AN13" s="16"/>
      <c r="AO13" s="17"/>
      <c r="AP13" s="17"/>
      <c r="AQ13" s="17"/>
      <c r="AR13" s="19"/>
      <c r="AS13" s="18"/>
      <c r="AT13" s="19"/>
      <c r="AU13" s="18"/>
      <c r="AV13" s="18"/>
    </row>
    <row r="14" spans="1:48">
      <c r="A14" s="6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/>
      <c r="AI14" s="6">
        <f t="shared" ref="AI14" si="7">COUNTIF(B14:AH14,"휴")</f>
        <v>0</v>
      </c>
      <c r="AJ14" s="10"/>
      <c r="AK14" s="11">
        <f t="shared" si="3"/>
        <v>0</v>
      </c>
      <c r="AL14" s="11">
        <f t="shared" si="4"/>
        <v>0</v>
      </c>
      <c r="AN14" s="16"/>
      <c r="AO14" s="17"/>
      <c r="AP14" s="17"/>
      <c r="AQ14" s="17"/>
      <c r="AR14" s="19"/>
      <c r="AS14" s="18"/>
      <c r="AT14" s="19"/>
      <c r="AU14" s="18"/>
      <c r="AV14" s="18"/>
    </row>
    <row r="15" spans="1:48">
      <c r="A15" s="6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6">
        <f>COUNTIF(C15:AH15,"휴")</f>
        <v>0</v>
      </c>
      <c r="AJ15" s="10"/>
      <c r="AK15" s="11">
        <f t="shared" si="3"/>
        <v>0</v>
      </c>
      <c r="AL15" s="11">
        <f t="shared" si="4"/>
        <v>0</v>
      </c>
      <c r="AM15" s="15"/>
      <c r="AN15" s="16"/>
      <c r="AO15" s="17"/>
      <c r="AP15" s="17"/>
      <c r="AQ15" s="17"/>
      <c r="AR15" s="18"/>
      <c r="AS15" s="18"/>
      <c r="AT15" s="19"/>
      <c r="AU15" s="18"/>
      <c r="AV15" s="18"/>
    </row>
    <row r="16" spans="1:48">
      <c r="A16" s="6"/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4"/>
      <c r="AI16" s="6">
        <f>COUNTIF(C16:AH16,"휴")</f>
        <v>0</v>
      </c>
      <c r="AJ16" s="10"/>
      <c r="AK16" s="11">
        <f t="shared" si="3"/>
        <v>0</v>
      </c>
      <c r="AL16" s="11">
        <f t="shared" si="4"/>
        <v>0</v>
      </c>
      <c r="AM16" s="15"/>
      <c r="AN16" s="16"/>
      <c r="AO16" s="17"/>
      <c r="AP16" s="17"/>
      <c r="AQ16" s="17"/>
      <c r="AR16" s="18"/>
      <c r="AS16" s="18"/>
      <c r="AT16" s="19"/>
      <c r="AU16" s="18"/>
      <c r="AV16" s="18"/>
    </row>
    <row r="17" spans="1:48">
      <c r="A17" s="6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4"/>
      <c r="AI17" s="6">
        <f>COUNTIF(C17:AH17,"휴")</f>
        <v>0</v>
      </c>
      <c r="AJ17" s="10"/>
      <c r="AK17" s="11">
        <f t="shared" si="3"/>
        <v>0</v>
      </c>
      <c r="AL17" s="11">
        <f t="shared" si="4"/>
        <v>0</v>
      </c>
      <c r="AM17" s="15"/>
      <c r="AN17" s="16"/>
      <c r="AO17" s="17"/>
      <c r="AP17" s="17"/>
      <c r="AQ17" s="17"/>
      <c r="AR17" s="18"/>
      <c r="AS17" s="18"/>
      <c r="AT17" s="19"/>
      <c r="AU17" s="18"/>
      <c r="AV17" s="18"/>
    </row>
    <row r="18" spans="1:48">
      <c r="A18" s="6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4"/>
      <c r="AI18" s="6">
        <f t="shared" ref="AI18:AI20" si="8">COUNTIF(B18:AH18,"휴")</f>
        <v>0</v>
      </c>
      <c r="AJ18" s="10"/>
      <c r="AK18" s="11">
        <f t="shared" si="3"/>
        <v>0</v>
      </c>
      <c r="AL18" s="11">
        <f t="shared" si="4"/>
        <v>0</v>
      </c>
      <c r="AN18" s="16"/>
      <c r="AO18" s="17"/>
      <c r="AP18" s="17"/>
      <c r="AQ18" s="17"/>
      <c r="AR18" s="19"/>
      <c r="AS18" s="18"/>
      <c r="AT18" s="19"/>
      <c r="AU18" s="18"/>
      <c r="AV18" s="18"/>
    </row>
    <row r="19" spans="1:48">
      <c r="A19" s="6"/>
      <c r="B19" s="12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4"/>
      <c r="AI19" s="6">
        <f t="shared" si="8"/>
        <v>0</v>
      </c>
      <c r="AJ19" s="10"/>
      <c r="AK19" s="11">
        <f t="shared" si="3"/>
        <v>0</v>
      </c>
      <c r="AL19" s="11">
        <f t="shared" si="4"/>
        <v>0</v>
      </c>
      <c r="AN19" s="16"/>
      <c r="AO19" s="17"/>
      <c r="AP19" s="17"/>
      <c r="AQ19" s="17"/>
      <c r="AR19" s="19"/>
      <c r="AS19" s="18"/>
      <c r="AT19" s="19"/>
      <c r="AU19" s="18"/>
      <c r="AV19" s="18"/>
    </row>
    <row r="20" spans="1:48">
      <c r="A20" s="6"/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4"/>
      <c r="AI20" s="6">
        <f t="shared" si="8"/>
        <v>0</v>
      </c>
      <c r="AJ20" s="10"/>
      <c r="AK20" s="11">
        <f t="shared" si="3"/>
        <v>0</v>
      </c>
      <c r="AL20" s="11">
        <f t="shared" si="4"/>
        <v>0</v>
      </c>
      <c r="AN20" s="16"/>
      <c r="AO20" s="17"/>
      <c r="AP20" s="17"/>
      <c r="AQ20" s="17"/>
      <c r="AR20" s="19"/>
      <c r="AS20" s="18"/>
      <c r="AT20" s="19"/>
      <c r="AU20" s="18"/>
      <c r="AV20" s="18"/>
    </row>
    <row r="21" spans="1:48">
      <c r="A21" s="6"/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4"/>
      <c r="AI21" s="6">
        <f t="shared" ref="AI21" si="9">COUNTIF(B21:AH21,"휴")</f>
        <v>0</v>
      </c>
      <c r="AJ21" s="10"/>
      <c r="AK21" s="11">
        <f t="shared" si="3"/>
        <v>0</v>
      </c>
      <c r="AL21" s="11">
        <f t="shared" si="4"/>
        <v>0</v>
      </c>
      <c r="AN21" s="16"/>
      <c r="AO21" s="17"/>
      <c r="AP21" s="17"/>
      <c r="AQ21" s="17"/>
      <c r="AR21" s="19"/>
      <c r="AS21" s="18"/>
      <c r="AT21" s="19"/>
      <c r="AU21" s="18"/>
      <c r="AV21" s="18"/>
    </row>
    <row r="22" spans="1:48">
      <c r="A22" s="21"/>
      <c r="B22" s="6" t="s">
        <v>5</v>
      </c>
      <c r="C22" s="6">
        <f>groupSchedule!A1</f>
        <v>0</v>
      </c>
      <c r="D22" s="6">
        <f>groupSchedule!B1</f>
        <v>0</v>
      </c>
      <c r="E22" s="6">
        <f>groupSchedule!C1</f>
        <v>0</v>
      </c>
      <c r="F22" s="6">
        <f>groupSchedule!D1</f>
        <v>0</v>
      </c>
      <c r="G22" s="6">
        <f>groupSchedule!E1</f>
        <v>0</v>
      </c>
      <c r="H22" s="6">
        <f>groupSchedule!F1</f>
        <v>0</v>
      </c>
      <c r="I22" s="6">
        <f>groupSchedule!G1</f>
        <v>0</v>
      </c>
      <c r="J22" s="6">
        <f>groupSchedule!H1</f>
        <v>0</v>
      </c>
      <c r="K22" s="6">
        <f>groupSchedule!I1</f>
        <v>0</v>
      </c>
      <c r="L22" s="6">
        <f>groupSchedule!J1</f>
        <v>0</v>
      </c>
      <c r="M22" s="6">
        <f>groupSchedule!K1</f>
        <v>0</v>
      </c>
      <c r="N22" s="6">
        <f>groupSchedule!L1</f>
        <v>0</v>
      </c>
      <c r="O22" s="6">
        <f>groupSchedule!M1</f>
        <v>0</v>
      </c>
      <c r="P22" s="6">
        <f>groupSchedule!N1</f>
        <v>0</v>
      </c>
      <c r="Q22" s="6">
        <f>groupSchedule!O1</f>
        <v>0</v>
      </c>
      <c r="R22" s="6">
        <f>groupSchedule!P1</f>
        <v>0</v>
      </c>
      <c r="S22" s="6">
        <f>groupSchedule!Q1</f>
        <v>0</v>
      </c>
      <c r="T22" s="6">
        <f>groupSchedule!R1</f>
        <v>0</v>
      </c>
      <c r="U22" s="6">
        <f>groupSchedule!S1</f>
        <v>0</v>
      </c>
      <c r="V22" s="6">
        <f>groupSchedule!T1</f>
        <v>0</v>
      </c>
      <c r="W22" s="6">
        <f>groupSchedule!U1</f>
        <v>0</v>
      </c>
      <c r="X22" s="6">
        <f>groupSchedule!V1</f>
        <v>0</v>
      </c>
      <c r="Y22" s="6">
        <f>groupSchedule!W1</f>
        <v>0</v>
      </c>
      <c r="Z22" s="6">
        <f>groupSchedule!X1</f>
        <v>0</v>
      </c>
      <c r="AA22" s="6">
        <f>groupSchedule!Y1</f>
        <v>0</v>
      </c>
      <c r="AB22" s="6">
        <f>groupSchedule!Z1</f>
        <v>0</v>
      </c>
      <c r="AC22" s="6">
        <f>groupSchedule!AA1</f>
        <v>0</v>
      </c>
      <c r="AD22" s="6">
        <f>groupSchedule!AB1</f>
        <v>0</v>
      </c>
      <c r="AE22" s="6">
        <f>groupSchedule!AC1</f>
        <v>0</v>
      </c>
      <c r="AF22" s="6">
        <f>groupSchedule!AD1</f>
        <v>0</v>
      </c>
      <c r="AG22" s="6">
        <f>groupSchedule!AE1</f>
        <v>0</v>
      </c>
      <c r="AI22" s="6"/>
      <c r="AJ22" s="10"/>
      <c r="AK22" s="2"/>
      <c r="AL22" s="2"/>
      <c r="AN22" s="16"/>
      <c r="AO22" s="19"/>
      <c r="AP22" s="19"/>
      <c r="AQ22" s="19"/>
      <c r="AR22" s="19"/>
      <c r="AS22" s="18"/>
      <c r="AT22" s="18"/>
      <c r="AU22" s="18"/>
      <c r="AV22" s="18"/>
    </row>
    <row r="23" spans="1:48">
      <c r="A23" s="22"/>
      <c r="B23" s="6" t="s">
        <v>6</v>
      </c>
      <c r="C23" s="6">
        <f>groupSchedule!A2</f>
        <v>0</v>
      </c>
      <c r="D23" s="6">
        <f>groupSchedule!B2</f>
        <v>0</v>
      </c>
      <c r="E23" s="6">
        <f>groupSchedule!C2</f>
        <v>0</v>
      </c>
      <c r="F23" s="6">
        <f>groupSchedule!D2</f>
        <v>0</v>
      </c>
      <c r="G23" s="6">
        <f>groupSchedule!E2</f>
        <v>0</v>
      </c>
      <c r="H23" s="6">
        <f>groupSchedule!F2</f>
        <v>0</v>
      </c>
      <c r="I23" s="6">
        <f>groupSchedule!G2</f>
        <v>0</v>
      </c>
      <c r="J23" s="6">
        <f>groupSchedule!H2</f>
        <v>0</v>
      </c>
      <c r="K23" s="6">
        <f>groupSchedule!I2</f>
        <v>0</v>
      </c>
      <c r="L23" s="6">
        <f>groupSchedule!J2</f>
        <v>0</v>
      </c>
      <c r="M23" s="6">
        <f>groupSchedule!K2</f>
        <v>0</v>
      </c>
      <c r="N23" s="6">
        <f>groupSchedule!L2</f>
        <v>0</v>
      </c>
      <c r="O23" s="6">
        <f>groupSchedule!M2</f>
        <v>0</v>
      </c>
      <c r="P23" s="6">
        <f>groupSchedule!N2</f>
        <v>0</v>
      </c>
      <c r="Q23" s="6">
        <f>groupSchedule!O2</f>
        <v>0</v>
      </c>
      <c r="R23" s="6">
        <f>groupSchedule!P2</f>
        <v>0</v>
      </c>
      <c r="S23" s="6">
        <f>groupSchedule!Q2</f>
        <v>0</v>
      </c>
      <c r="T23" s="6">
        <f>groupSchedule!R2</f>
        <v>0</v>
      </c>
      <c r="U23" s="6">
        <f>groupSchedule!S2</f>
        <v>0</v>
      </c>
      <c r="V23" s="6">
        <f>groupSchedule!T2</f>
        <v>0</v>
      </c>
      <c r="W23" s="6">
        <f>groupSchedule!U2</f>
        <v>0</v>
      </c>
      <c r="X23" s="6">
        <f>groupSchedule!V2</f>
        <v>0</v>
      </c>
      <c r="Y23" s="6">
        <f>groupSchedule!W2</f>
        <v>0</v>
      </c>
      <c r="Z23" s="6">
        <f>groupSchedule!X2</f>
        <v>0</v>
      </c>
      <c r="AA23" s="6">
        <f>groupSchedule!Y2</f>
        <v>0</v>
      </c>
      <c r="AB23" s="6">
        <f>groupSchedule!Z2</f>
        <v>0</v>
      </c>
      <c r="AC23" s="6">
        <f>groupSchedule!AA2</f>
        <v>0</v>
      </c>
      <c r="AD23" s="6">
        <f>groupSchedule!AB2</f>
        <v>0</v>
      </c>
      <c r="AE23" s="6">
        <f>groupSchedule!AC2</f>
        <v>0</v>
      </c>
      <c r="AF23" s="6">
        <f>groupSchedule!AD2</f>
        <v>0</v>
      </c>
      <c r="AG23" s="6">
        <f>groupSchedule!AE2</f>
        <v>0</v>
      </c>
      <c r="AI23" s="12"/>
      <c r="AJ23" s="10"/>
      <c r="AK23" s="2"/>
      <c r="AL23" s="2"/>
      <c r="AN23" s="16"/>
      <c r="AO23" s="19"/>
      <c r="AP23" s="19"/>
      <c r="AQ23" s="19"/>
      <c r="AR23" s="19"/>
      <c r="AS23" s="18"/>
      <c r="AT23" s="18"/>
      <c r="AU23" s="18"/>
      <c r="AV23" s="18"/>
    </row>
    <row r="24" spans="1:48">
      <c r="A24" s="22"/>
      <c r="B24" s="6" t="s">
        <v>7</v>
      </c>
      <c r="C24" s="6">
        <f>groupSchedule!A3</f>
        <v>0</v>
      </c>
      <c r="D24" s="6">
        <f>groupSchedule!B3</f>
        <v>0</v>
      </c>
      <c r="E24" s="6">
        <f>groupSchedule!C3</f>
        <v>0</v>
      </c>
      <c r="F24" s="6">
        <f>groupSchedule!D3</f>
        <v>0</v>
      </c>
      <c r="G24" s="6">
        <f>groupSchedule!E3</f>
        <v>0</v>
      </c>
      <c r="H24" s="6">
        <f>groupSchedule!F3</f>
        <v>0</v>
      </c>
      <c r="I24" s="6">
        <f>groupSchedule!G3</f>
        <v>0</v>
      </c>
      <c r="J24" s="6">
        <f>groupSchedule!H3</f>
        <v>0</v>
      </c>
      <c r="K24" s="6">
        <f>groupSchedule!I3</f>
        <v>0</v>
      </c>
      <c r="L24" s="6">
        <f>groupSchedule!J3</f>
        <v>0</v>
      </c>
      <c r="M24" s="6">
        <f>groupSchedule!K3</f>
        <v>0</v>
      </c>
      <c r="N24" s="6">
        <f>groupSchedule!L3</f>
        <v>0</v>
      </c>
      <c r="O24" s="6">
        <f>groupSchedule!M3</f>
        <v>0</v>
      </c>
      <c r="P24" s="6">
        <f>groupSchedule!N3</f>
        <v>0</v>
      </c>
      <c r="Q24" s="6">
        <f>groupSchedule!O3</f>
        <v>0</v>
      </c>
      <c r="R24" s="6">
        <f>groupSchedule!P3</f>
        <v>0</v>
      </c>
      <c r="S24" s="6">
        <f>groupSchedule!Q3</f>
        <v>0</v>
      </c>
      <c r="T24" s="6">
        <f>groupSchedule!R3</f>
        <v>0</v>
      </c>
      <c r="U24" s="6">
        <f>groupSchedule!S3</f>
        <v>0</v>
      </c>
      <c r="V24" s="6">
        <f>groupSchedule!T3</f>
        <v>0</v>
      </c>
      <c r="W24" s="6">
        <f>groupSchedule!U3</f>
        <v>0</v>
      </c>
      <c r="X24" s="6">
        <f>groupSchedule!V3</f>
        <v>0</v>
      </c>
      <c r="Y24" s="6">
        <f>groupSchedule!W3</f>
        <v>0</v>
      </c>
      <c r="Z24" s="6">
        <f>groupSchedule!X3</f>
        <v>0</v>
      </c>
      <c r="AA24" s="6">
        <f>groupSchedule!Y3</f>
        <v>0</v>
      </c>
      <c r="AB24" s="6">
        <f>groupSchedule!Z3</f>
        <v>0</v>
      </c>
      <c r="AC24" s="6">
        <f>groupSchedule!AA3</f>
        <v>0</v>
      </c>
      <c r="AD24" s="6">
        <f>groupSchedule!AB3</f>
        <v>0</v>
      </c>
      <c r="AE24" s="6">
        <f>groupSchedule!AC3</f>
        <v>0</v>
      </c>
      <c r="AF24" s="6">
        <f>groupSchedule!AD3</f>
        <v>0</v>
      </c>
      <c r="AG24" s="6">
        <f>groupSchedule!AE3</f>
        <v>0</v>
      </c>
      <c r="AI24" s="23"/>
      <c r="AJ24" s="24"/>
      <c r="AK24" s="2"/>
      <c r="AL24" s="2"/>
      <c r="AN24" s="25"/>
      <c r="AO24" s="19"/>
      <c r="AP24" s="19"/>
      <c r="AQ24" s="19"/>
      <c r="AR24" s="19"/>
      <c r="AS24" s="18"/>
      <c r="AT24" s="18"/>
      <c r="AU24" s="18"/>
      <c r="AV24" s="18"/>
    </row>
    <row r="25" spans="1:48">
      <c r="A25" s="22"/>
      <c r="B25" s="6" t="s">
        <v>8</v>
      </c>
      <c r="C25" s="6">
        <f>groupSchedule!A4</f>
        <v>0</v>
      </c>
      <c r="D25" s="6">
        <f>groupSchedule!B4</f>
        <v>0</v>
      </c>
      <c r="E25" s="6">
        <f>groupSchedule!C4</f>
        <v>0</v>
      </c>
      <c r="F25" s="6">
        <f>groupSchedule!D4</f>
        <v>0</v>
      </c>
      <c r="G25" s="6">
        <f>groupSchedule!E4</f>
        <v>0</v>
      </c>
      <c r="H25" s="6">
        <f>groupSchedule!F4</f>
        <v>0</v>
      </c>
      <c r="I25" s="6">
        <f>groupSchedule!G4</f>
        <v>0</v>
      </c>
      <c r="J25" s="6">
        <f>groupSchedule!H4</f>
        <v>0</v>
      </c>
      <c r="K25" s="6">
        <f>groupSchedule!I4</f>
        <v>0</v>
      </c>
      <c r="L25" s="6">
        <f>groupSchedule!J4</f>
        <v>0</v>
      </c>
      <c r="M25" s="6">
        <f>groupSchedule!K4</f>
        <v>0</v>
      </c>
      <c r="N25" s="6">
        <f>groupSchedule!L4</f>
        <v>0</v>
      </c>
      <c r="O25" s="6">
        <f>groupSchedule!M4</f>
        <v>0</v>
      </c>
      <c r="P25" s="6">
        <f>groupSchedule!N4</f>
        <v>0</v>
      </c>
      <c r="Q25" s="6">
        <f>groupSchedule!O4</f>
        <v>0</v>
      </c>
      <c r="R25" s="6">
        <f>groupSchedule!P4</f>
        <v>0</v>
      </c>
      <c r="S25" s="6">
        <f>groupSchedule!Q4</f>
        <v>0</v>
      </c>
      <c r="T25" s="6">
        <f>groupSchedule!R4</f>
        <v>0</v>
      </c>
      <c r="U25" s="6">
        <f>groupSchedule!S4</f>
        <v>0</v>
      </c>
      <c r="V25" s="6">
        <f>groupSchedule!T4</f>
        <v>0</v>
      </c>
      <c r="W25" s="6">
        <f>groupSchedule!U4</f>
        <v>0</v>
      </c>
      <c r="X25" s="6">
        <f>groupSchedule!V4</f>
        <v>0</v>
      </c>
      <c r="Y25" s="6">
        <f>groupSchedule!W4</f>
        <v>0</v>
      </c>
      <c r="Z25" s="6">
        <f>groupSchedule!X4</f>
        <v>0</v>
      </c>
      <c r="AA25" s="6">
        <f>groupSchedule!Y4</f>
        <v>0</v>
      </c>
      <c r="AB25" s="6">
        <f>groupSchedule!Z4</f>
        <v>0</v>
      </c>
      <c r="AC25" s="6">
        <f>groupSchedule!AA4</f>
        <v>0</v>
      </c>
      <c r="AD25" s="6">
        <f>groupSchedule!AB4</f>
        <v>0</v>
      </c>
      <c r="AE25" s="6">
        <f>groupSchedule!AC4</f>
        <v>0</v>
      </c>
      <c r="AF25" s="6">
        <f>groupSchedule!AD4</f>
        <v>0</v>
      </c>
      <c r="AG25" s="6">
        <f>groupSchedule!AE4</f>
        <v>0</v>
      </c>
      <c r="AI25" s="26" t="s">
        <v>9</v>
      </c>
      <c r="AJ25" s="27"/>
      <c r="AK25" s="11"/>
      <c r="AL25" s="11"/>
      <c r="AN25" s="28"/>
      <c r="AO25" s="18"/>
      <c r="AP25" s="18"/>
      <c r="AQ25" s="18"/>
      <c r="AR25" s="18"/>
      <c r="AS25" s="18"/>
      <c r="AT25" s="18"/>
      <c r="AU25" s="18"/>
      <c r="AV25" s="18"/>
    </row>
    <row r="26" spans="1:48">
      <c r="A26" s="22"/>
      <c r="B26" s="12" t="s">
        <v>10</v>
      </c>
      <c r="C26" s="29">
        <f t="shared" ref="C26:AF26" si="10">COUNTIF(C6:C21,"주")</f>
        <v>0</v>
      </c>
      <c r="D26" s="29">
        <f t="shared" si="10"/>
        <v>0</v>
      </c>
      <c r="E26" s="29">
        <f t="shared" si="10"/>
        <v>0</v>
      </c>
      <c r="F26" s="29">
        <f t="shared" si="10"/>
        <v>0</v>
      </c>
      <c r="G26" s="29">
        <f t="shared" si="10"/>
        <v>0</v>
      </c>
      <c r="H26" s="29">
        <f t="shared" si="10"/>
        <v>0</v>
      </c>
      <c r="I26" s="29">
        <f t="shared" si="10"/>
        <v>0</v>
      </c>
      <c r="J26" s="29">
        <f t="shared" si="10"/>
        <v>0</v>
      </c>
      <c r="K26" s="29">
        <f t="shared" si="10"/>
        <v>0</v>
      </c>
      <c r="L26" s="29">
        <f t="shared" si="10"/>
        <v>0</v>
      </c>
      <c r="M26" s="29">
        <f t="shared" si="10"/>
        <v>0</v>
      </c>
      <c r="N26" s="29">
        <f t="shared" si="10"/>
        <v>0</v>
      </c>
      <c r="O26" s="29">
        <f t="shared" si="10"/>
        <v>0</v>
      </c>
      <c r="P26" s="29">
        <f t="shared" si="10"/>
        <v>0</v>
      </c>
      <c r="Q26" s="29">
        <f t="shared" si="10"/>
        <v>0</v>
      </c>
      <c r="R26" s="29">
        <f t="shared" si="10"/>
        <v>0</v>
      </c>
      <c r="S26" s="29">
        <f t="shared" si="10"/>
        <v>0</v>
      </c>
      <c r="T26" s="29">
        <f t="shared" si="10"/>
        <v>0</v>
      </c>
      <c r="U26" s="29">
        <f t="shared" si="10"/>
        <v>0</v>
      </c>
      <c r="V26" s="29">
        <f t="shared" si="10"/>
        <v>0</v>
      </c>
      <c r="W26" s="29">
        <f t="shared" si="10"/>
        <v>0</v>
      </c>
      <c r="X26" s="29">
        <f t="shared" si="10"/>
        <v>0</v>
      </c>
      <c r="Y26" s="29">
        <f t="shared" si="10"/>
        <v>0</v>
      </c>
      <c r="Z26" s="29">
        <f t="shared" si="10"/>
        <v>0</v>
      </c>
      <c r="AA26" s="29">
        <f t="shared" si="10"/>
        <v>0</v>
      </c>
      <c r="AB26" s="29">
        <f t="shared" si="10"/>
        <v>0</v>
      </c>
      <c r="AC26" s="29">
        <f t="shared" si="10"/>
        <v>0</v>
      </c>
      <c r="AD26" s="29">
        <f t="shared" si="10"/>
        <v>0</v>
      </c>
      <c r="AE26" s="29">
        <f t="shared" si="10"/>
        <v>0</v>
      </c>
      <c r="AF26" s="29">
        <f t="shared" si="10"/>
        <v>0</v>
      </c>
      <c r="AG26" s="29">
        <f>COUNTIF(AG6:AG11,"주")</f>
        <v>0</v>
      </c>
      <c r="AH26" s="29"/>
      <c r="AI26" s="30">
        <f>COUNTIF(C26:AG26,"1")</f>
        <v>0</v>
      </c>
      <c r="AJ26" s="2"/>
      <c r="AK26" s="11"/>
      <c r="AL26" s="22"/>
      <c r="AN26" s="31"/>
      <c r="AO26" s="18"/>
      <c r="AP26" s="18"/>
      <c r="AQ26" s="18"/>
      <c r="AR26" s="18"/>
      <c r="AS26" s="18"/>
      <c r="AT26" s="18"/>
      <c r="AU26" s="18"/>
      <c r="AV26" s="18"/>
    </row>
    <row r="27" spans="1:48">
      <c r="A27" s="22"/>
      <c r="B27" s="12" t="s">
        <v>11</v>
      </c>
      <c r="C27" s="12">
        <f t="shared" ref="C27:AF27" si="11">COUNTIF(C6:C21,"야")</f>
        <v>0</v>
      </c>
      <c r="D27" s="12">
        <f t="shared" si="11"/>
        <v>0</v>
      </c>
      <c r="E27" s="12">
        <f t="shared" si="11"/>
        <v>0</v>
      </c>
      <c r="F27" s="12">
        <f t="shared" si="11"/>
        <v>0</v>
      </c>
      <c r="G27" s="12">
        <f t="shared" si="11"/>
        <v>0</v>
      </c>
      <c r="H27" s="12">
        <f t="shared" si="11"/>
        <v>0</v>
      </c>
      <c r="I27" s="12">
        <f t="shared" si="11"/>
        <v>0</v>
      </c>
      <c r="J27" s="12">
        <f t="shared" si="11"/>
        <v>0</v>
      </c>
      <c r="K27" s="12">
        <f t="shared" si="11"/>
        <v>0</v>
      </c>
      <c r="L27" s="12">
        <f t="shared" si="11"/>
        <v>0</v>
      </c>
      <c r="M27" s="12">
        <f t="shared" si="11"/>
        <v>0</v>
      </c>
      <c r="N27" s="12">
        <f t="shared" si="11"/>
        <v>0</v>
      </c>
      <c r="O27" s="12">
        <f t="shared" si="11"/>
        <v>0</v>
      </c>
      <c r="P27" s="12">
        <f t="shared" si="11"/>
        <v>0</v>
      </c>
      <c r="Q27" s="12">
        <f t="shared" si="11"/>
        <v>0</v>
      </c>
      <c r="R27" s="12">
        <f t="shared" si="11"/>
        <v>0</v>
      </c>
      <c r="S27" s="12">
        <f t="shared" si="11"/>
        <v>0</v>
      </c>
      <c r="T27" s="12">
        <f t="shared" si="11"/>
        <v>0</v>
      </c>
      <c r="U27" s="12">
        <f t="shared" si="11"/>
        <v>0</v>
      </c>
      <c r="V27" s="12">
        <f t="shared" si="11"/>
        <v>0</v>
      </c>
      <c r="W27" s="12">
        <f t="shared" si="11"/>
        <v>0</v>
      </c>
      <c r="X27" s="12">
        <f t="shared" si="11"/>
        <v>0</v>
      </c>
      <c r="Y27" s="12">
        <f t="shared" si="11"/>
        <v>0</v>
      </c>
      <c r="Z27" s="12">
        <f t="shared" si="11"/>
        <v>0</v>
      </c>
      <c r="AA27" s="12">
        <f t="shared" si="11"/>
        <v>0</v>
      </c>
      <c r="AB27" s="12">
        <f t="shared" si="11"/>
        <v>0</v>
      </c>
      <c r="AC27" s="12">
        <f t="shared" si="11"/>
        <v>0</v>
      </c>
      <c r="AD27" s="12">
        <f t="shared" si="11"/>
        <v>0</v>
      </c>
      <c r="AE27" s="12">
        <f t="shared" si="11"/>
        <v>0</v>
      </c>
      <c r="AF27" s="12">
        <f t="shared" si="11"/>
        <v>0</v>
      </c>
      <c r="AG27" s="12">
        <v>2</v>
      </c>
      <c r="AH27" s="12"/>
      <c r="AI27" s="30">
        <f>COUNTIF(C27:AG27,"1")</f>
        <v>0</v>
      </c>
      <c r="AJ27" s="2"/>
      <c r="AK27" s="11"/>
      <c r="AL27" s="22"/>
      <c r="AN27" s="1"/>
      <c r="AO27" s="18"/>
      <c r="AP27" s="18"/>
      <c r="AQ27" s="18"/>
      <c r="AR27" s="18"/>
      <c r="AS27" s="18"/>
      <c r="AT27" s="18"/>
      <c r="AU27" s="18"/>
      <c r="AV27" s="18"/>
    </row>
    <row r="28" spans="1:48">
      <c r="A28" s="22"/>
      <c r="B28" s="32"/>
      <c r="C28" s="33"/>
      <c r="D28" s="33"/>
      <c r="E28" s="33"/>
      <c r="F28" s="33"/>
      <c r="G28" s="33"/>
      <c r="H28" s="33"/>
      <c r="I28" s="33"/>
      <c r="J28" s="34"/>
      <c r="K28" s="34"/>
      <c r="L28" s="34"/>
      <c r="M28" s="34"/>
      <c r="N28" s="35"/>
      <c r="O28" s="34"/>
      <c r="P28" s="34"/>
      <c r="Q28" s="34"/>
      <c r="R28" s="34"/>
      <c r="S28" s="34"/>
      <c r="T28" s="34"/>
      <c r="U28" s="35"/>
      <c r="V28" s="34"/>
      <c r="W28" s="34"/>
      <c r="X28" s="34"/>
      <c r="Y28" s="34"/>
      <c r="Z28" s="34"/>
      <c r="AA28" s="34"/>
      <c r="AB28" s="34"/>
      <c r="AC28" s="34"/>
      <c r="AD28" s="35"/>
      <c r="AE28" s="35"/>
      <c r="AF28" s="35"/>
      <c r="AG28" s="34"/>
      <c r="AH28" s="34"/>
      <c r="AI28" s="35"/>
      <c r="AJ28" s="5"/>
      <c r="AK28" s="23"/>
      <c r="AL28" s="23"/>
      <c r="AO28" s="18"/>
      <c r="AP28" s="18"/>
      <c r="AQ28" s="18"/>
      <c r="AR28" s="18" t="s">
        <v>12</v>
      </c>
      <c r="AS28" s="18"/>
      <c r="AT28" s="18"/>
      <c r="AU28" s="18"/>
      <c r="AV28" s="18"/>
    </row>
    <row r="29" spans="1:48">
      <c r="A29" s="36"/>
      <c r="B29" s="88" t="s">
        <v>13</v>
      </c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90"/>
      <c r="N29" s="91"/>
      <c r="O29" s="92"/>
      <c r="P29" s="92"/>
      <c r="Q29" s="92"/>
      <c r="R29" s="92"/>
      <c r="S29" s="92"/>
      <c r="T29" s="92"/>
      <c r="U29" s="93"/>
      <c r="V29" s="1"/>
      <c r="W29" s="1"/>
      <c r="X29" s="1"/>
      <c r="Y29" s="1"/>
      <c r="Z29" s="1"/>
      <c r="AA29" s="1"/>
      <c r="AB29" s="1"/>
      <c r="AC29" s="1" t="s">
        <v>2</v>
      </c>
      <c r="AD29" s="1" t="s">
        <v>3</v>
      </c>
      <c r="AE29" s="1"/>
      <c r="AF29" s="1"/>
      <c r="AG29" s="1"/>
      <c r="AH29" s="1"/>
      <c r="AI29" s="37"/>
      <c r="AJ29" s="38"/>
      <c r="AK29" s="39"/>
      <c r="AL29" s="40"/>
      <c r="AO29" s="18"/>
      <c r="AP29" s="18"/>
      <c r="AQ29" s="18"/>
      <c r="AR29" s="18"/>
      <c r="AS29" s="18"/>
      <c r="AT29" s="18"/>
      <c r="AU29" s="18"/>
      <c r="AV29" s="18"/>
    </row>
    <row r="30" spans="1:48">
      <c r="A30" s="1"/>
      <c r="B30" s="94" t="s">
        <v>14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6"/>
      <c r="N30" s="97"/>
      <c r="O30" s="98"/>
      <c r="P30" s="98"/>
      <c r="Q30" s="98"/>
      <c r="R30" s="98"/>
      <c r="S30" s="98"/>
      <c r="T30" s="98"/>
      <c r="U30" s="99"/>
      <c r="V30" s="1"/>
      <c r="W30" s="1"/>
      <c r="X30" s="1"/>
      <c r="AB30" s="41" t="s">
        <v>5</v>
      </c>
      <c r="AC30" s="1">
        <f>dayGroupCount!A1</f>
        <v>0</v>
      </c>
      <c r="AD30" s="1">
        <f>nightGroupCount!A1</f>
        <v>0</v>
      </c>
      <c r="AE30" s="1"/>
      <c r="AF30" s="1"/>
      <c r="AI30" s="2"/>
      <c r="AJ30" s="42"/>
      <c r="AK30" s="42"/>
      <c r="AL30" s="43"/>
      <c r="AO30" s="18"/>
      <c r="AP30" s="18"/>
      <c r="AQ30" s="18"/>
      <c r="AR30" s="18"/>
      <c r="AS30" s="18"/>
      <c r="AT30" s="18"/>
      <c r="AU30" s="18"/>
      <c r="AV30" s="18"/>
    </row>
    <row r="31" spans="1:48">
      <c r="A31" s="1"/>
      <c r="B31" s="94" t="s">
        <v>15</v>
      </c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6"/>
      <c r="N31" s="97"/>
      <c r="O31" s="98"/>
      <c r="P31" s="98"/>
      <c r="Q31" s="98"/>
      <c r="R31" s="98"/>
      <c r="S31" s="98"/>
      <c r="T31" s="98"/>
      <c r="U31" s="99"/>
      <c r="V31" s="1"/>
      <c r="W31" s="1"/>
      <c r="X31" s="1"/>
      <c r="Y31" s="1"/>
      <c r="Z31" s="1"/>
      <c r="AA31" s="1"/>
      <c r="AB31" s="41" t="s">
        <v>6</v>
      </c>
      <c r="AC31" s="1">
        <f>dayGroupCount!B1</f>
        <v>0</v>
      </c>
      <c r="AD31" s="1">
        <f>nightGroupCount!B1</f>
        <v>0</v>
      </c>
      <c r="AE31" s="1"/>
      <c r="AF31" s="1"/>
      <c r="AG31" s="1"/>
      <c r="AH31" s="1"/>
      <c r="AJ31" s="42"/>
      <c r="AK31" s="42"/>
      <c r="AL31" s="42"/>
      <c r="AO31" s="18"/>
      <c r="AP31" s="18"/>
      <c r="AQ31" s="18"/>
      <c r="AR31" s="18"/>
      <c r="AS31" s="18"/>
      <c r="AT31" s="18"/>
      <c r="AU31" s="18"/>
      <c r="AV31" s="18"/>
    </row>
    <row r="32" spans="1:48">
      <c r="A32" s="1"/>
      <c r="B32" s="103" t="s">
        <v>16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5"/>
      <c r="N32" s="100"/>
      <c r="O32" s="101"/>
      <c r="P32" s="101"/>
      <c r="Q32" s="101"/>
      <c r="R32" s="101"/>
      <c r="S32" s="101"/>
      <c r="T32" s="101"/>
      <c r="U32" s="102"/>
      <c r="V32" s="1"/>
      <c r="W32" s="1"/>
      <c r="X32" s="1"/>
      <c r="Y32" s="1"/>
      <c r="Z32" s="1"/>
      <c r="AA32" s="1"/>
      <c r="AB32" s="41" t="s">
        <v>7</v>
      </c>
      <c r="AC32" s="1">
        <f>dayGroupCount!C1</f>
        <v>0</v>
      </c>
      <c r="AD32" s="1">
        <f>nightGroupCount!C1</f>
        <v>0</v>
      </c>
      <c r="AE32" s="1"/>
      <c r="AF32" s="1"/>
      <c r="AG32" s="1"/>
      <c r="AH32" s="1"/>
      <c r="AI32" s="2"/>
      <c r="AJ32" s="1"/>
      <c r="AK32" s="1"/>
      <c r="AL32" s="1"/>
      <c r="AM32" s="1"/>
      <c r="AN32" s="44" t="s">
        <v>17</v>
      </c>
    </row>
    <row r="33" spans="1:40" ht="17.100000000000001" customHeight="1">
      <c r="A33" s="1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45"/>
      <c r="O33" s="45"/>
      <c r="P33" s="45"/>
      <c r="Q33" s="45"/>
      <c r="R33" s="45"/>
      <c r="S33" s="45"/>
      <c r="T33" s="45"/>
      <c r="U33" s="45"/>
      <c r="V33" s="1"/>
      <c r="W33" s="1"/>
      <c r="X33" s="1"/>
      <c r="Y33" s="1"/>
      <c r="Z33" s="1"/>
      <c r="AA33" s="1"/>
      <c r="AB33" s="41" t="s">
        <v>8</v>
      </c>
      <c r="AC33" s="1">
        <f>dayGroupCount!D1</f>
        <v>0</v>
      </c>
      <c r="AD33" s="1">
        <f>nightGroupCount!D1</f>
        <v>0</v>
      </c>
      <c r="AF33" s="1"/>
      <c r="AG33" s="1"/>
      <c r="AH33" s="1"/>
      <c r="AI33" s="2"/>
    </row>
    <row r="34" spans="1:40">
      <c r="A34" s="1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46"/>
      <c r="O34" s="46"/>
      <c r="P34" s="46"/>
      <c r="Q34" s="46"/>
      <c r="R34" s="46"/>
      <c r="S34" s="46"/>
      <c r="T34" s="46"/>
      <c r="U34" s="46"/>
      <c r="V34" s="1"/>
      <c r="W34" s="1"/>
      <c r="X34" s="1"/>
      <c r="Y34" s="1"/>
      <c r="Z34" s="1"/>
      <c r="AA34" s="1"/>
      <c r="AC34">
        <f>SUM(AC30:AC33)</f>
        <v>0</v>
      </c>
      <c r="AD34">
        <f>SUM(AD30:AD33)</f>
        <v>0</v>
      </c>
      <c r="AF34" s="1"/>
      <c r="AG34" s="1"/>
      <c r="AH34" s="1"/>
      <c r="AI34" s="2" t="s">
        <v>18</v>
      </c>
      <c r="AJ34" s="1"/>
      <c r="AK34" s="1"/>
      <c r="AL34" s="1"/>
      <c r="AM34" s="1"/>
    </row>
    <row r="35" spans="1:40">
      <c r="A35" s="1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46"/>
      <c r="O35" s="46"/>
      <c r="P35" s="46"/>
      <c r="Q35" s="46"/>
      <c r="R35" s="46"/>
      <c r="S35" s="46"/>
      <c r="T35" s="46"/>
      <c r="U35" s="46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2"/>
      <c r="AJ35" s="1"/>
      <c r="AK35" s="1"/>
      <c r="AL35" s="1"/>
      <c r="AM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2"/>
      <c r="AJ36" s="1"/>
      <c r="AK36" s="1"/>
      <c r="AL36" s="1"/>
      <c r="AM36" s="1"/>
    </row>
    <row r="37" spans="1:40">
      <c r="A37" s="1"/>
      <c r="H37" s="47"/>
      <c r="I37" s="47"/>
      <c r="J37" s="47"/>
      <c r="X37" s="1"/>
      <c r="AB37" s="1"/>
      <c r="AI37" s="2"/>
      <c r="AJ37" s="1"/>
      <c r="AK37" s="1"/>
      <c r="AL37" s="1"/>
      <c r="AM37" s="1"/>
      <c r="AN37" s="48"/>
    </row>
    <row r="38" spans="1:40">
      <c r="AB38" s="1"/>
      <c r="AJ38" s="1"/>
      <c r="AK38" s="1"/>
      <c r="AL38" s="1"/>
      <c r="AM38" s="1"/>
      <c r="AN38" s="49"/>
    </row>
    <row r="39" spans="1:40">
      <c r="AJ39" s="1"/>
      <c r="AK39" s="1"/>
      <c r="AL39" s="1"/>
      <c r="AN39" s="50"/>
    </row>
    <row r="40" spans="1:40">
      <c r="AN40" s="51"/>
    </row>
    <row r="41" spans="1:40">
      <c r="AN41" s="52"/>
    </row>
    <row r="42" spans="1:40">
      <c r="AN42" s="53"/>
    </row>
    <row r="44" spans="1:40">
      <c r="AN44">
        <v>453</v>
      </c>
    </row>
    <row r="81" spans="4:4">
      <c r="D81" t="s">
        <v>19</v>
      </c>
    </row>
  </sheetData>
  <mergeCells count="16">
    <mergeCell ref="A1:AG2"/>
    <mergeCell ref="A3:AG3"/>
    <mergeCell ref="A4:A5"/>
    <mergeCell ref="B4:B5"/>
    <mergeCell ref="AK4:AK5"/>
    <mergeCell ref="B33:M33"/>
    <mergeCell ref="B34:M34"/>
    <mergeCell ref="B35:M35"/>
    <mergeCell ref="AL4:AL5"/>
    <mergeCell ref="AN4:AN5"/>
    <mergeCell ref="B29:M29"/>
    <mergeCell ref="N29:U29"/>
    <mergeCell ref="B30:M30"/>
    <mergeCell ref="N30:U32"/>
    <mergeCell ref="B31:M31"/>
    <mergeCell ref="B32:M32"/>
  </mergeCells>
  <phoneticPr fontId="19" type="noConversion"/>
  <conditionalFormatting sqref="B6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"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"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B14 B18:B2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B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ellIs" dxfId="588" priority="116" operator="equal">
      <formula>"연"</formula>
    </cfRule>
    <cfRule type="cellIs" dxfId="587" priority="117" operator="equal">
      <formula>"연"</formula>
    </cfRule>
  </conditionalFormatting>
  <conditionalFormatting sqref="C9:F9 L9:U9 X9 AA9 AD9 AT11:AT21 AH12:AH21">
    <cfRule type="cellIs" dxfId="586" priority="1232" operator="equal">
      <formula>"연"</formula>
    </cfRule>
  </conditionalFormatting>
  <conditionalFormatting sqref="C11:O11 X11:AH11">
    <cfRule type="cellIs" dxfId="585" priority="1260" operator="equal">
      <formula>"연"</formula>
    </cfRule>
  </conditionalFormatting>
  <conditionalFormatting sqref="C10:P10">
    <cfRule type="cellIs" dxfId="584" priority="1130" operator="equal">
      <formula>"연"</formula>
    </cfRule>
    <cfRule type="cellIs" dxfId="583" priority="1131" operator="equal">
      <formula>"연"</formula>
    </cfRule>
    <cfRule type="cellIs" dxfId="582" priority="1256" operator="equal">
      <formula>"연"</formula>
    </cfRule>
    <cfRule type="cellIs" dxfId="581" priority="1255" operator="equal">
      <formula>"연"</formula>
    </cfRule>
  </conditionalFormatting>
  <conditionalFormatting sqref="C15:AA17">
    <cfRule type="cellIs" dxfId="580" priority="53" operator="equal">
      <formula>"야"</formula>
    </cfRule>
    <cfRule type="cellIs" dxfId="579" priority="54" operator="equal">
      <formula>"휴"</formula>
    </cfRule>
  </conditionalFormatting>
  <conditionalFormatting sqref="C5:AG5">
    <cfRule type="cellIs" dxfId="578" priority="530" operator="equal">
      <formula>"일"</formula>
    </cfRule>
    <cfRule type="cellIs" dxfId="577" priority="1159" operator="equal">
      <formula>"토"</formula>
    </cfRule>
  </conditionalFormatting>
  <conditionalFormatting sqref="C6:AG21">
    <cfRule type="cellIs" dxfId="576" priority="1235" operator="equal">
      <formula>"연"</formula>
    </cfRule>
    <cfRule type="cellIs" dxfId="575" priority="1236" operator="equal">
      <formula>"연"</formula>
    </cfRule>
    <cfRule type="cellIs" dxfId="574" priority="115" operator="equal">
      <formula>"특"</formula>
    </cfRule>
  </conditionalFormatting>
  <conditionalFormatting sqref="C12:AG14">
    <cfRule type="cellIs" dxfId="573" priority="48" operator="equal">
      <formula>"연"</formula>
    </cfRule>
    <cfRule type="cellIs" dxfId="572" priority="47" operator="equal">
      <formula>"연"</formula>
    </cfRule>
  </conditionalFormatting>
  <conditionalFormatting sqref="C6:AH21 AT11:AT21">
    <cfRule type="cellIs" dxfId="571" priority="118" operator="equal">
      <formula>"야"</formula>
    </cfRule>
    <cfRule type="cellIs" dxfId="570" priority="119" operator="equal">
      <formula>"휴"</formula>
    </cfRule>
  </conditionalFormatting>
  <conditionalFormatting sqref="D8:O8">
    <cfRule type="cellIs" dxfId="569" priority="529" operator="equal">
      <formula>"휴"</formula>
    </cfRule>
    <cfRule type="cellIs" dxfId="568" priority="528" operator="equal">
      <formula>"야"</formula>
    </cfRule>
  </conditionalFormatting>
  <conditionalFormatting sqref="D10:P10">
    <cfRule type="cellIs" dxfId="567" priority="1223" operator="equal">
      <formula>"연"</formula>
    </cfRule>
    <cfRule type="cellIs" dxfId="566" priority="1224" operator="equal">
      <formula>"연"</formula>
    </cfRule>
  </conditionalFormatting>
  <conditionalFormatting sqref="D8:AG8">
    <cfRule type="cellIs" dxfId="565" priority="1053" operator="equal">
      <formula>"연"</formula>
    </cfRule>
    <cfRule type="cellIs" dxfId="564" priority="1052" operator="equal">
      <formula>"연"</formula>
    </cfRule>
  </conditionalFormatting>
  <conditionalFormatting sqref="D9:AG9">
    <cfRule type="cellIs" dxfId="563" priority="718" operator="equal">
      <formula>"휴"</formula>
    </cfRule>
    <cfRule type="cellIs" dxfId="562" priority="717" operator="equal">
      <formula>"야"</formula>
    </cfRule>
  </conditionalFormatting>
  <conditionalFormatting sqref="D18:AG20">
    <cfRule type="cellIs" dxfId="561" priority="12" operator="equal">
      <formula>"연"</formula>
    </cfRule>
    <cfRule type="cellIs" dxfId="560" priority="11" operator="equal">
      <formula>"연"</formula>
    </cfRule>
  </conditionalFormatting>
  <conditionalFormatting sqref="D21:AG21">
    <cfRule type="cellIs" dxfId="559" priority="162" operator="equal">
      <formula>"연"</formula>
    </cfRule>
    <cfRule type="cellIs" dxfId="558" priority="163" operator="equal">
      <formula>"연"</formula>
    </cfRule>
  </conditionalFormatting>
  <conditionalFormatting sqref="F11">
    <cfRule type="cellIs" dxfId="557" priority="248" operator="equal">
      <formula>"연"</formula>
    </cfRule>
    <cfRule type="cellIs" dxfId="556" priority="247" operator="equal">
      <formula>"연"</formula>
    </cfRule>
  </conditionalFormatting>
  <conditionalFormatting sqref="F15:AG17">
    <cfRule type="cellIs" dxfId="555" priority="52" operator="equal">
      <formula>"연"</formula>
    </cfRule>
    <cfRule type="cellIs" dxfId="554" priority="51" operator="equal">
      <formula>"연"</formula>
    </cfRule>
  </conditionalFormatting>
  <conditionalFormatting sqref="G9:K9 V9:AH9">
    <cfRule type="cellIs" dxfId="553" priority="1240" operator="equal">
      <formula>"연"</formula>
    </cfRule>
  </conditionalFormatting>
  <conditionalFormatting sqref="G9:N9 V9:AG9">
    <cfRule type="cellIs" dxfId="552" priority="1239" operator="equal">
      <formula>"연"</formula>
    </cfRule>
  </conditionalFormatting>
  <conditionalFormatting sqref="G10:O10 AD10:AG10">
    <cfRule type="cellIs" dxfId="551" priority="1252" operator="equal">
      <formula>"연"</formula>
    </cfRule>
    <cfRule type="cellIs" dxfId="550" priority="1251" operator="equal">
      <formula>"연"</formula>
    </cfRule>
  </conditionalFormatting>
  <conditionalFormatting sqref="G11:W11 R7:AG7 S8:AF8">
    <cfRule type="cellIs" dxfId="549" priority="1316" operator="equal">
      <formula>"연"</formula>
    </cfRule>
  </conditionalFormatting>
  <conditionalFormatting sqref="H11:H14 K11:K14 N11:N14 AF11:AF14 E12:E14 T12:T14 W12:W14 Z12:Z14 AC12:AC14 E18:E21 H18:H21 K18:K21 N18:N21 T18:T21 W18:W21 Z18:Z21 AC18:AC21 AF18:AF21">
    <cfRule type="cellIs" dxfId="548" priority="141" operator="equal">
      <formula>"연"</formula>
    </cfRule>
    <cfRule type="cellIs" dxfId="547" priority="142" operator="equal">
      <formula>"연"</formula>
    </cfRule>
  </conditionalFormatting>
  <conditionalFormatting sqref="H37:J37">
    <cfRule type="cellIs" dxfId="546" priority="1324" operator="equal">
      <formula>"연"</formula>
    </cfRule>
    <cfRule type="cellIs" dxfId="545" priority="1323" operator="equal">
      <formula>"연"</formula>
    </cfRule>
    <cfRule type="cellIs" dxfId="544" priority="1326" operator="equal">
      <formula>"휴"</formula>
    </cfRule>
    <cfRule type="cellIs" dxfId="543" priority="1325" operator="equal">
      <formula>"야"</formula>
    </cfRule>
  </conditionalFormatting>
  <conditionalFormatting sqref="I9:I10">
    <cfRule type="cellIs" dxfId="542" priority="699" operator="equal">
      <formula>"연"</formula>
    </cfRule>
    <cfRule type="cellIs" dxfId="541" priority="700" operator="equal">
      <formula>"연"</formula>
    </cfRule>
  </conditionalFormatting>
  <conditionalFormatting sqref="I10">
    <cfRule type="cellIs" dxfId="540" priority="701" operator="equal">
      <formula>"야"</formula>
    </cfRule>
    <cfRule type="cellIs" dxfId="539" priority="702" operator="equal">
      <formula>"휴"</formula>
    </cfRule>
  </conditionalFormatting>
  <conditionalFormatting sqref="L10">
    <cfRule type="cellIs" dxfId="538" priority="697" operator="equal">
      <formula>"야"</formula>
    </cfRule>
    <cfRule type="cellIs" dxfId="537" priority="696" operator="equal">
      <formula>"연"</formula>
    </cfRule>
    <cfRule type="cellIs" dxfId="536" priority="698" operator="equal">
      <formula>"휴"</formula>
    </cfRule>
    <cfRule type="cellIs" dxfId="535" priority="695" operator="equal">
      <formula>"연"</formula>
    </cfRule>
  </conditionalFormatting>
  <conditionalFormatting sqref="L9:U9 X9 AA9 AD9 C9:F9">
    <cfRule type="cellIs" dxfId="534" priority="1231" operator="equal">
      <formula>"연"</formula>
    </cfRule>
  </conditionalFormatting>
  <conditionalFormatting sqref="N8:O8">
    <cfRule type="cellIs" dxfId="533" priority="527" operator="equal">
      <formula>"연"</formula>
    </cfRule>
    <cfRule type="cellIs" dxfId="532" priority="526" operator="equal">
      <formula>"연"</formula>
    </cfRule>
  </conditionalFormatting>
  <conditionalFormatting sqref="O10:Q10 S10:T10 W10 Z10 AC10 AF10">
    <cfRule type="cellIs" dxfId="531" priority="692" operator="equal">
      <formula>"연"</formula>
    </cfRule>
  </conditionalFormatting>
  <conditionalFormatting sqref="O10:Q10">
    <cfRule type="cellIs" dxfId="530" priority="683" operator="equal">
      <formula>"연"</formula>
    </cfRule>
    <cfRule type="cellIs" dxfId="529" priority="684" operator="equal">
      <formula>"연"</formula>
    </cfRule>
  </conditionalFormatting>
  <conditionalFormatting sqref="O10:W10 Z10:AF10 X10:Y11">
    <cfRule type="cellIs" dxfId="528" priority="676" operator="equal">
      <formula>"연"</formula>
    </cfRule>
  </conditionalFormatting>
  <conditionalFormatting sqref="O10:W10">
    <cfRule type="cellIs" dxfId="527" priority="650" operator="equal">
      <formula>"휴"</formula>
    </cfRule>
    <cfRule type="cellIs" dxfId="526" priority="649" operator="equal">
      <formula>"야"</formula>
    </cfRule>
  </conditionalFormatting>
  <conditionalFormatting sqref="O9:AG9">
    <cfRule type="cellIs" dxfId="525" priority="1200" operator="equal">
      <formula>"연"</formula>
    </cfRule>
    <cfRule type="cellIs" dxfId="524" priority="1199" operator="equal">
      <formula>"연"</formula>
    </cfRule>
  </conditionalFormatting>
  <conditionalFormatting sqref="O10:AG10">
    <cfRule type="cellIs" dxfId="523" priority="1110" operator="equal">
      <formula>"연"</formula>
    </cfRule>
    <cfRule type="cellIs" dxfId="522" priority="1126" operator="equal">
      <formula>"연"</formula>
    </cfRule>
    <cfRule type="cellIs" dxfId="521" priority="1111" operator="equal">
      <formula>"연"</formula>
    </cfRule>
  </conditionalFormatting>
  <conditionalFormatting sqref="O10:AH10">
    <cfRule type="cellIs" dxfId="520" priority="1127" operator="equal">
      <formula>"연"</formula>
    </cfRule>
  </conditionalFormatting>
  <conditionalFormatting sqref="P11:Q11">
    <cfRule type="cellIs" dxfId="519" priority="335" operator="equal">
      <formula>"연"</formula>
    </cfRule>
    <cfRule type="cellIs" dxfId="518" priority="336" operator="equal">
      <formula>"연"</formula>
    </cfRule>
  </conditionalFormatting>
  <conditionalFormatting sqref="P12:Q14">
    <cfRule type="cellIs" dxfId="517" priority="43" operator="equal">
      <formula>"연"</formula>
    </cfRule>
    <cfRule type="cellIs" dxfId="516" priority="44" operator="equal">
      <formula>"연"</formula>
    </cfRule>
  </conditionalFormatting>
  <conditionalFormatting sqref="P18:Q21">
    <cfRule type="cellIs" dxfId="515" priority="7" operator="equal">
      <formula>"연"</formula>
    </cfRule>
    <cfRule type="cellIs" dxfId="514" priority="8" operator="equal">
      <formula>"연"</formula>
    </cfRule>
  </conditionalFormatting>
  <conditionalFormatting sqref="P8:R11">
    <cfRule type="cellIs" dxfId="513" priority="333" operator="equal">
      <formula>"야"</formula>
    </cfRule>
    <cfRule type="cellIs" dxfId="512" priority="334" operator="equal">
      <formula>"휴"</formula>
    </cfRule>
  </conditionalFormatting>
  <conditionalFormatting sqref="P9:R9">
    <cfRule type="cellIs" dxfId="511" priority="1043" operator="equal">
      <formula>"연"</formula>
    </cfRule>
    <cfRule type="cellIs" dxfId="510" priority="1040" operator="equal">
      <formula>"연"</formula>
    </cfRule>
    <cfRule type="cellIs" dxfId="509" priority="1048" operator="equal">
      <formula>"연"</formula>
    </cfRule>
    <cfRule type="cellIs" dxfId="508" priority="1047" operator="equal">
      <formula>"연"</formula>
    </cfRule>
    <cfRule type="cellIs" dxfId="507" priority="1039" operator="equal">
      <formula>"연"</formula>
    </cfRule>
    <cfRule type="cellIs" dxfId="506" priority="1044" operator="equal">
      <formula>"연"</formula>
    </cfRule>
  </conditionalFormatting>
  <conditionalFormatting sqref="P10:AF10">
    <cfRule type="cellIs" dxfId="505" priority="1151" operator="equal">
      <formula>"연"</formula>
    </cfRule>
    <cfRule type="cellIs" dxfId="504" priority="1152" operator="equal">
      <formula>"연"</formula>
    </cfRule>
  </conditionalFormatting>
  <conditionalFormatting sqref="Q11:R11">
    <cfRule type="cellIs" dxfId="503" priority="1074" operator="equal">
      <formula>"연"</formula>
    </cfRule>
    <cfRule type="cellIs" dxfId="502" priority="1075" operator="equal">
      <formula>"연"</formula>
    </cfRule>
  </conditionalFormatting>
  <conditionalFormatting sqref="Q9:U9">
    <cfRule type="cellIs" dxfId="501" priority="1027" operator="equal">
      <formula>"연"</formula>
    </cfRule>
    <cfRule type="cellIs" dxfId="500" priority="1028" operator="equal">
      <formula>"연"</formula>
    </cfRule>
  </conditionalFormatting>
  <conditionalFormatting sqref="Q11:V11">
    <cfRule type="cellIs" dxfId="499" priority="316" operator="equal">
      <formula>"연"</formula>
    </cfRule>
    <cfRule type="cellIs" dxfId="498" priority="315" operator="equal">
      <formula>"연"</formula>
    </cfRule>
  </conditionalFormatting>
  <conditionalFormatting sqref="R9">
    <cfRule type="cellIs" dxfId="497" priority="1035" operator="equal">
      <formula>"연"</formula>
    </cfRule>
    <cfRule type="cellIs" dxfId="496" priority="1036" operator="equal">
      <formula>"연"</formula>
    </cfRule>
  </conditionalFormatting>
  <conditionalFormatting sqref="R11 X11 AA11 AD11">
    <cfRule type="cellIs" dxfId="495" priority="1264" operator="equal">
      <formula>"연"</formula>
    </cfRule>
  </conditionalFormatting>
  <conditionalFormatting sqref="R10:T10 V10 Y10 AA10:AB10">
    <cfRule type="cellIs" dxfId="494" priority="924" operator="equal">
      <formula>"연"</formula>
    </cfRule>
  </conditionalFormatting>
  <conditionalFormatting sqref="R10:T10 V10 AA10:AB10 Y10">
    <cfRule type="cellIs" dxfId="493" priority="923" operator="equal">
      <formula>"연"</formula>
    </cfRule>
  </conditionalFormatting>
  <conditionalFormatting sqref="R10:V10 X10:Y10 AA10:AB10 AD10">
    <cfRule type="cellIs" dxfId="492" priority="668" operator="equal">
      <formula>"연"</formula>
    </cfRule>
    <cfRule type="cellIs" dxfId="491" priority="667" operator="equal">
      <formula>"연"</formula>
    </cfRule>
  </conditionalFormatting>
  <conditionalFormatting sqref="R10:V10">
    <cfRule type="cellIs" dxfId="490" priority="664" operator="equal">
      <formula>"연"</formula>
    </cfRule>
    <cfRule type="cellIs" dxfId="489" priority="663" operator="equal">
      <formula>"연"</formula>
    </cfRule>
  </conditionalFormatting>
  <conditionalFormatting sqref="R11:V11">
    <cfRule type="cellIs" dxfId="488" priority="1211" operator="equal">
      <formula>"연"</formula>
    </cfRule>
    <cfRule type="cellIs" dxfId="487" priority="1212" operator="equal">
      <formula>"연"</formula>
    </cfRule>
  </conditionalFormatting>
  <conditionalFormatting sqref="R7:AG7 S8:AF8 G11:W11">
    <cfRule type="cellIs" dxfId="486" priority="1376" operator="equal">
      <formula>"연"</formula>
    </cfRule>
  </conditionalFormatting>
  <conditionalFormatting sqref="S10:T10 W10 Z10 AC10 AF10 O10:Q10">
    <cfRule type="cellIs" dxfId="485" priority="691" operator="equal">
      <formula>"연"</formula>
    </cfRule>
  </conditionalFormatting>
  <conditionalFormatting sqref="S9:U9">
    <cfRule type="cellIs" dxfId="484" priority="1020" operator="equal">
      <formula>"연"</formula>
    </cfRule>
    <cfRule type="cellIs" dxfId="483" priority="1023" operator="equal">
      <formula>"연"</formula>
    </cfRule>
    <cfRule type="cellIs" dxfId="482" priority="1024" operator="equal">
      <formula>"연"</formula>
    </cfRule>
    <cfRule type="cellIs" dxfId="481" priority="1019" operator="equal">
      <formula>"연"</formula>
    </cfRule>
  </conditionalFormatting>
  <conditionalFormatting sqref="S10:Y10">
    <cfRule type="cellIs" dxfId="480" priority="1122" operator="equal">
      <formula>"연"</formula>
    </cfRule>
    <cfRule type="cellIs" dxfId="479" priority="1123" operator="equal">
      <formula>"연"</formula>
    </cfRule>
  </conditionalFormatting>
  <conditionalFormatting sqref="T10 W10 Z10 AC10 AF10">
    <cfRule type="cellIs" dxfId="478" priority="687" operator="equal">
      <formula>"연"</formula>
    </cfRule>
    <cfRule type="cellIs" dxfId="477" priority="688" operator="equal">
      <formula>"연"</formula>
    </cfRule>
  </conditionalFormatting>
  <conditionalFormatting sqref="T10">
    <cfRule type="cellIs" dxfId="476" priority="680" operator="equal">
      <formula>"연"</formula>
    </cfRule>
    <cfRule type="cellIs" dxfId="475" priority="679" operator="equal">
      <formula>"연"</formula>
    </cfRule>
  </conditionalFormatting>
  <conditionalFormatting sqref="T10:T11">
    <cfRule type="cellIs" dxfId="474" priority="916" operator="equal">
      <formula>"연"</formula>
    </cfRule>
    <cfRule type="cellIs" dxfId="473" priority="915" operator="equal">
      <formula>"연"</formula>
    </cfRule>
  </conditionalFormatting>
  <conditionalFormatting sqref="T9:V11">
    <cfRule type="cellIs" dxfId="472" priority="313" operator="equal">
      <formula>"야"</formula>
    </cfRule>
    <cfRule type="cellIs" dxfId="471" priority="314" operator="equal">
      <formula>"휴"</formula>
    </cfRule>
  </conditionalFormatting>
  <conditionalFormatting sqref="T11:V11">
    <cfRule type="cellIs" dxfId="470" priority="591" operator="equal">
      <formula>"연"</formula>
    </cfRule>
    <cfRule type="cellIs" dxfId="469" priority="312" operator="equal">
      <formula>"연"</formula>
    </cfRule>
    <cfRule type="cellIs" dxfId="468" priority="592" operator="equal">
      <formula>"연"</formula>
    </cfRule>
    <cfRule type="cellIs" dxfId="467" priority="311" operator="equal">
      <formula>"연"</formula>
    </cfRule>
  </conditionalFormatting>
  <conditionalFormatting sqref="T9:X9 AA9 AD9">
    <cfRule type="cellIs" dxfId="466" priority="1007" operator="equal">
      <formula>"연"</formula>
    </cfRule>
    <cfRule type="cellIs" dxfId="465" priority="1008" operator="equal">
      <formula>"연"</formula>
    </cfRule>
  </conditionalFormatting>
  <conditionalFormatting sqref="T11:Y11">
    <cfRule type="cellIs" dxfId="464" priority="884" operator="equal">
      <formula>"연"</formula>
    </cfRule>
    <cfRule type="cellIs" dxfId="463" priority="883" operator="equal">
      <formula>"연"</formula>
    </cfRule>
  </conditionalFormatting>
  <conditionalFormatting sqref="T10:AC10">
    <cfRule type="cellIs" dxfId="462" priority="1135" operator="equal">
      <formula>"연"</formula>
    </cfRule>
    <cfRule type="cellIs" dxfId="461" priority="1136" operator="equal">
      <formula>"연"</formula>
    </cfRule>
  </conditionalFormatting>
  <conditionalFormatting sqref="T9:AF9">
    <cfRule type="cellIs" dxfId="460" priority="1172" operator="equal">
      <formula>"연"</formula>
    </cfRule>
    <cfRule type="cellIs" dxfId="459" priority="1171" operator="equal">
      <formula>"연"</formula>
    </cfRule>
  </conditionalFormatting>
  <conditionalFormatting sqref="U9">
    <cfRule type="cellIs" dxfId="458" priority="1015" operator="equal">
      <formula>"연"</formula>
    </cfRule>
    <cfRule type="cellIs" dxfId="457" priority="1016" operator="equal">
      <formula>"연"</formula>
    </cfRule>
  </conditionalFormatting>
  <conditionalFormatting sqref="U9:U10">
    <cfRule type="cellIs" dxfId="456" priority="654" operator="equal">
      <formula>"휴"</formula>
    </cfRule>
    <cfRule type="cellIs" dxfId="455" priority="653" operator="equal">
      <formula>"야"</formula>
    </cfRule>
  </conditionalFormatting>
  <conditionalFormatting sqref="U10:V10">
    <cfRule type="cellIs" dxfId="454" priority="912" operator="equal">
      <formula>"연"</formula>
    </cfRule>
    <cfRule type="cellIs" dxfId="453" priority="911" operator="equal">
      <formula>"연"</formula>
    </cfRule>
  </conditionalFormatting>
  <conditionalFormatting sqref="U11:V11">
    <cfRule type="cellIs" dxfId="452" priority="325" operator="equal">
      <formula>"야"</formula>
    </cfRule>
    <cfRule type="cellIs" dxfId="451" priority="328" operator="equal">
      <formula>"연"</formula>
    </cfRule>
    <cfRule type="cellIs" dxfId="450" priority="326" operator="equal">
      <formula>"휴"</formula>
    </cfRule>
    <cfRule type="cellIs" dxfId="449" priority="599" operator="equal">
      <formula>"연"</formula>
    </cfRule>
    <cfRule type="cellIs" dxfId="448" priority="600" operator="equal">
      <formula>"연"</formula>
    </cfRule>
    <cfRule type="cellIs" dxfId="447" priority="327" operator="equal">
      <formula>"연"</formula>
    </cfRule>
  </conditionalFormatting>
  <conditionalFormatting sqref="U10:W10">
    <cfRule type="cellIs" dxfId="446" priority="651" operator="equal">
      <formula>"연"</formula>
    </cfRule>
    <cfRule type="cellIs" dxfId="445" priority="652" operator="equal">
      <formula>"연"</formula>
    </cfRule>
  </conditionalFormatting>
  <conditionalFormatting sqref="U10:Y10">
    <cfRule type="cellIs" dxfId="444" priority="660" operator="equal">
      <formula>"연"</formula>
    </cfRule>
    <cfRule type="cellIs" dxfId="443" priority="659" operator="equal">
      <formula>"연"</formula>
    </cfRule>
  </conditionalFormatting>
  <conditionalFormatting sqref="U10:AB10">
    <cfRule type="cellIs" dxfId="442" priority="644" operator="equal">
      <formula>"연"</formula>
    </cfRule>
    <cfRule type="cellIs" dxfId="441" priority="643" operator="equal">
      <formula>"연"</formula>
    </cfRule>
  </conditionalFormatting>
  <conditionalFormatting sqref="U10:AG10">
    <cfRule type="cellIs" dxfId="440" priority="928" operator="equal">
      <formula>"연"</formula>
    </cfRule>
    <cfRule type="cellIs" dxfId="439" priority="927" operator="equal">
      <formula>"연"</formula>
    </cfRule>
  </conditionalFormatting>
  <conditionalFormatting sqref="V10:W10">
    <cfRule type="cellIs" dxfId="438" priority="899" operator="equal">
      <formula>"연"</formula>
    </cfRule>
    <cfRule type="cellIs" dxfId="437" priority="900" operator="equal">
      <formula>"연"</formula>
    </cfRule>
    <cfRule type="cellIs" dxfId="436" priority="908" operator="equal">
      <formula>"연"</formula>
    </cfRule>
    <cfRule type="cellIs" dxfId="435" priority="907" operator="equal">
      <formula>"연"</formula>
    </cfRule>
  </conditionalFormatting>
  <conditionalFormatting sqref="V9:X9 AA9 AD9">
    <cfRule type="cellIs" dxfId="434" priority="1003" operator="equal">
      <formula>"연"</formula>
    </cfRule>
    <cfRule type="cellIs" dxfId="433" priority="1004" operator="equal">
      <formula>"연"</formula>
    </cfRule>
    <cfRule type="cellIs" dxfId="432" priority="1000" operator="equal">
      <formula>"연"</formula>
    </cfRule>
    <cfRule type="cellIs" dxfId="431" priority="999" operator="equal">
      <formula>"연"</formula>
    </cfRule>
  </conditionalFormatting>
  <conditionalFormatting sqref="W9:X9 AA9 AD9">
    <cfRule type="cellIs" dxfId="430" priority="795" operator="equal">
      <formula>"연"</formula>
    </cfRule>
    <cfRule type="cellIs" dxfId="429" priority="799" operator="equal">
      <formula>"연"</formula>
    </cfRule>
    <cfRule type="cellIs" dxfId="428" priority="796" operator="equal">
      <formula>"연"</formula>
    </cfRule>
    <cfRule type="cellIs" dxfId="427" priority="804" operator="equal">
      <formula>"연"</formula>
    </cfRule>
    <cfRule type="cellIs" dxfId="426" priority="800" operator="equal">
      <formula>"연"</formula>
    </cfRule>
    <cfRule type="cellIs" dxfId="425" priority="803" operator="equal">
      <formula>"연"</formula>
    </cfRule>
  </conditionalFormatting>
  <conditionalFormatting sqref="W9:Y9 AA9:AB9 AD9:AE9">
    <cfRule type="cellIs" dxfId="424" priority="783" operator="equal">
      <formula>"연"</formula>
    </cfRule>
    <cfRule type="cellIs" dxfId="423" priority="784" operator="equal">
      <formula>"연"</formula>
    </cfRule>
  </conditionalFormatting>
  <conditionalFormatting sqref="W9:Y9 AA9:AB9 AD9:AG9">
    <cfRule type="cellIs" dxfId="422" priority="807" operator="equal">
      <formula>"연"</formula>
    </cfRule>
    <cfRule type="cellIs" dxfId="421" priority="808" operator="equal">
      <formula>"연"</formula>
    </cfRule>
  </conditionalFormatting>
  <conditionalFormatting sqref="W9:AF9">
    <cfRule type="cellIs" dxfId="420" priority="988" operator="equal">
      <formula>"연"</formula>
    </cfRule>
    <cfRule type="cellIs" dxfId="419" priority="987" operator="equal">
      <formula>"연"</formula>
    </cfRule>
  </conditionalFormatting>
  <conditionalFormatting sqref="W12:AG14">
    <cfRule type="cellIs" dxfId="418" priority="46" operator="equal">
      <formula>"연"</formula>
    </cfRule>
    <cfRule type="cellIs" dxfId="417" priority="45" operator="equal">
      <formula>"연"</formula>
    </cfRule>
  </conditionalFormatting>
  <conditionalFormatting sqref="W18:AG20">
    <cfRule type="cellIs" dxfId="416" priority="10" operator="equal">
      <formula>"연"</formula>
    </cfRule>
    <cfRule type="cellIs" dxfId="415" priority="9" operator="equal">
      <formula>"연"</formula>
    </cfRule>
  </conditionalFormatting>
  <conditionalFormatting sqref="W21:AG21">
    <cfRule type="cellIs" dxfId="414" priority="146" operator="equal">
      <formula>"연"</formula>
    </cfRule>
    <cfRule type="cellIs" dxfId="413" priority="147" operator="equal">
      <formula>"연"</formula>
    </cfRule>
  </conditionalFormatting>
  <conditionalFormatting sqref="X9 AA9 AD9">
    <cfRule type="cellIs" dxfId="412" priority="792" operator="equal">
      <formula>"연"</formula>
    </cfRule>
    <cfRule type="cellIs" dxfId="411" priority="791" operator="equal">
      <formula>"연"</formula>
    </cfRule>
    <cfRule type="cellIs" dxfId="410" priority="996" operator="equal">
      <formula>"연"</formula>
    </cfRule>
  </conditionalFormatting>
  <conditionalFormatting sqref="X11 AA11 AD11 R11">
    <cfRule type="cellIs" dxfId="409" priority="1263" operator="equal">
      <formula>"연"</formula>
    </cfRule>
  </conditionalFormatting>
  <conditionalFormatting sqref="X11">
    <cfRule type="cellIs" dxfId="408" priority="876" operator="equal">
      <formula>"연"</formula>
    </cfRule>
    <cfRule type="cellIs" dxfId="407" priority="875" operator="equal">
      <formula>"연"</formula>
    </cfRule>
    <cfRule type="cellIs" dxfId="406" priority="588" operator="equal">
      <formula>"연"</formula>
    </cfRule>
    <cfRule type="cellIs" dxfId="405" priority="587" operator="equal">
      <formula>"연"</formula>
    </cfRule>
    <cfRule type="cellIs" dxfId="404" priority="584" operator="equal">
      <formula>"연"</formula>
    </cfRule>
    <cfRule type="cellIs" dxfId="403" priority="583" operator="equal">
      <formula>"연"</formula>
    </cfRule>
  </conditionalFormatting>
  <conditionalFormatting sqref="X9:Y9 AA9:AB9 AD9:AE9">
    <cfRule type="cellIs" dxfId="402" priority="360" operator="equal">
      <formula>"연"</formula>
    </cfRule>
    <cfRule type="cellIs" dxfId="401" priority="363" operator="equal">
      <formula>"연"</formula>
    </cfRule>
    <cfRule type="cellIs" dxfId="400" priority="359" operator="equal">
      <formula>"연"</formula>
    </cfRule>
    <cfRule type="cellIs" dxfId="399" priority="364" operator="equal">
      <formula>"연"</formula>
    </cfRule>
    <cfRule type="cellIs" dxfId="398" priority="367" operator="equal">
      <formula>"연"</formula>
    </cfRule>
    <cfRule type="cellIs" dxfId="397" priority="368" operator="equal">
      <formula>"연"</formula>
    </cfRule>
  </conditionalFormatting>
  <conditionalFormatting sqref="X11:Y11">
    <cfRule type="cellIs" dxfId="396" priority="879" operator="equal">
      <formula>"연"</formula>
    </cfRule>
    <cfRule type="cellIs" dxfId="395" priority="283" operator="equal">
      <formula>"연"</formula>
    </cfRule>
    <cfRule type="cellIs" dxfId="394" priority="284" operator="equal">
      <formula>"연"</formula>
    </cfRule>
    <cfRule type="cellIs" dxfId="393" priority="880" operator="equal">
      <formula>"연"</formula>
    </cfRule>
  </conditionalFormatting>
  <conditionalFormatting sqref="X10:Z10">
    <cfRule type="cellIs" dxfId="392" priority="636" operator="equal">
      <formula>"연"</formula>
    </cfRule>
    <cfRule type="cellIs" dxfId="391" priority="635" operator="equal">
      <formula>"연"</formula>
    </cfRule>
  </conditionalFormatting>
  <conditionalFormatting sqref="X11:Z11">
    <cfRule type="cellIs" dxfId="390" priority="307" operator="equal">
      <formula>"연"</formula>
    </cfRule>
    <cfRule type="cellIs" dxfId="389" priority="308" operator="equal">
      <formula>"연"</formula>
    </cfRule>
  </conditionalFormatting>
  <conditionalFormatting sqref="X10:AB11">
    <cfRule type="cellIs" dxfId="388" priority="1099" operator="equal">
      <formula>"연"</formula>
    </cfRule>
    <cfRule type="cellIs" dxfId="387" priority="1098" operator="equal">
      <formula>"연"</formula>
    </cfRule>
  </conditionalFormatting>
  <conditionalFormatting sqref="X9:AD11">
    <cfRule type="cellIs" dxfId="386" priority="177" operator="equal">
      <formula>"휴"</formula>
    </cfRule>
    <cfRule type="cellIs" dxfId="385" priority="176" operator="equal">
      <formula>"야"</formula>
    </cfRule>
  </conditionalFormatting>
  <conditionalFormatting sqref="X10:AE10">
    <cfRule type="cellIs" dxfId="384" priority="627" operator="equal">
      <formula>"연"</formula>
    </cfRule>
    <cfRule type="cellIs" dxfId="383" priority="628" operator="equal">
      <formula>"연"</formula>
    </cfRule>
  </conditionalFormatting>
  <conditionalFormatting sqref="X9:AF9">
    <cfRule type="cellIs" dxfId="382" priority="347" operator="equal">
      <formula>"연"</formula>
    </cfRule>
    <cfRule type="cellIs" dxfId="381" priority="348" operator="equal">
      <formula>"연"</formula>
    </cfRule>
  </conditionalFormatting>
  <conditionalFormatting sqref="X11:AG11">
    <cfRule type="cellIs" dxfId="380" priority="1215" operator="equal">
      <formula>"연"</formula>
    </cfRule>
    <cfRule type="cellIs" dxfId="379" priority="1216" operator="equal">
      <formula>"연"</formula>
    </cfRule>
  </conditionalFormatting>
  <conditionalFormatting sqref="Y9 AB9 AE9">
    <cfRule type="cellIs" dxfId="378" priority="356" operator="equal">
      <formula>"연"</formula>
    </cfRule>
    <cfRule type="cellIs" dxfId="377" priority="371" operator="equal">
      <formula>"연"</formula>
    </cfRule>
    <cfRule type="cellIs" dxfId="376" priority="372" operator="equal">
      <formula>"연"</formula>
    </cfRule>
    <cfRule type="cellIs" dxfId="375" priority="355" operator="equal">
      <formula>"연"</formula>
    </cfRule>
  </conditionalFormatting>
  <conditionalFormatting sqref="Y10:Z11">
    <cfRule type="cellIs" dxfId="374" priority="246" operator="equal">
      <formula>"휴"</formula>
    </cfRule>
    <cfRule type="cellIs" dxfId="373" priority="245" operator="equal">
      <formula>"야"</formula>
    </cfRule>
  </conditionalFormatting>
  <conditionalFormatting sqref="Y11:Z11">
    <cfRule type="cellIs" dxfId="372" priority="292" operator="equal">
      <formula>"연"</formula>
    </cfRule>
    <cfRule type="cellIs" dxfId="371" priority="244" operator="equal">
      <formula>"연"</formula>
    </cfRule>
    <cfRule type="cellIs" dxfId="370" priority="243" operator="equal">
      <formula>"연"</formula>
    </cfRule>
    <cfRule type="cellIs" dxfId="369" priority="291" operator="equal">
      <formula>"연"</formula>
    </cfRule>
  </conditionalFormatting>
  <conditionalFormatting sqref="Y9:AC9 AE9:AF9">
    <cfRule type="cellIs" dxfId="368" priority="979" operator="equal">
      <formula>"연"</formula>
    </cfRule>
    <cfRule type="cellIs" dxfId="367" priority="980" operator="equal">
      <formula>"연"</formula>
    </cfRule>
    <cfRule type="cellIs" dxfId="366" priority="983" operator="equal">
      <formula>"연"</formula>
    </cfRule>
    <cfRule type="cellIs" dxfId="365" priority="984" operator="equal">
      <formula>"연"</formula>
    </cfRule>
  </conditionalFormatting>
  <conditionalFormatting sqref="Y9:AC9 AE9:AF10">
    <cfRule type="cellIs" dxfId="364" priority="771" operator="equal">
      <formula>"연"</formula>
    </cfRule>
    <cfRule type="cellIs" dxfId="363" priority="772" operator="equal">
      <formula>"연"</formula>
    </cfRule>
  </conditionalFormatting>
  <conditionalFormatting sqref="Z9 AC9 AF9">
    <cfRule type="cellIs" dxfId="362" priority="344" operator="equal">
      <formula>"연"</formula>
    </cfRule>
    <cfRule type="cellIs" dxfId="361" priority="339" operator="equal">
      <formula>"연"</formula>
    </cfRule>
    <cfRule type="cellIs" dxfId="360" priority="340" operator="equal">
      <formula>"연"</formula>
    </cfRule>
    <cfRule type="cellIs" dxfId="359" priority="343" operator="equal">
      <formula>"연"</formula>
    </cfRule>
  </conditionalFormatting>
  <conditionalFormatting sqref="Z11">
    <cfRule type="cellIs" dxfId="358" priority="567" operator="equal">
      <formula>"연"</formula>
    </cfRule>
    <cfRule type="cellIs" dxfId="357" priority="299" operator="equal">
      <formula>"연"</formula>
    </cfRule>
    <cfRule type="cellIs" dxfId="356" priority="300" operator="equal">
      <formula>"연"</formula>
    </cfRule>
    <cfRule type="cellIs" dxfId="355" priority="303" operator="equal">
      <formula>"연"</formula>
    </cfRule>
    <cfRule type="cellIs" dxfId="354" priority="304" operator="equal">
      <formula>"연"</formula>
    </cfRule>
    <cfRule type="cellIs" dxfId="353" priority="568" operator="equal">
      <formula>"연"</formula>
    </cfRule>
  </conditionalFormatting>
  <conditionalFormatting sqref="Z9:AA9 AC9 AF9">
    <cfRule type="cellIs" dxfId="352" priority="768" operator="equal">
      <formula>"연"</formula>
    </cfRule>
    <cfRule type="cellIs" dxfId="351" priority="767" operator="equal">
      <formula>"연"</formula>
    </cfRule>
    <cfRule type="cellIs" dxfId="350" priority="763" operator="equal">
      <formula>"연"</formula>
    </cfRule>
    <cfRule type="cellIs" dxfId="349" priority="764" operator="equal">
      <formula>"연"</formula>
    </cfRule>
    <cfRule type="cellIs" dxfId="348" priority="759" operator="equal">
      <formula>"연"</formula>
    </cfRule>
    <cfRule type="cellIs" dxfId="347" priority="760" operator="equal">
      <formula>"연"</formula>
    </cfRule>
  </conditionalFormatting>
  <conditionalFormatting sqref="Z11:AA11">
    <cfRule type="cellIs" dxfId="346" priority="572" operator="equal">
      <formula>"연"</formula>
    </cfRule>
    <cfRule type="cellIs" dxfId="345" priority="571" operator="equal">
      <formula>"연"</formula>
    </cfRule>
  </conditionalFormatting>
  <conditionalFormatting sqref="Z9:AC9">
    <cfRule type="cellIs" dxfId="344" priority="748" operator="equal">
      <formula>"연"</formula>
    </cfRule>
    <cfRule type="cellIs" dxfId="343" priority="747" operator="equal">
      <formula>"연"</formula>
    </cfRule>
  </conditionalFormatting>
  <conditionalFormatting sqref="Z9:AD9">
    <cfRule type="cellIs" dxfId="342" priority="967" operator="equal">
      <formula>"연"</formula>
    </cfRule>
    <cfRule type="cellIs" dxfId="341" priority="968" operator="equal">
      <formula>"연"</formula>
    </cfRule>
  </conditionalFormatting>
  <conditionalFormatting sqref="Z9:AF10">
    <cfRule type="cellIs" dxfId="340" priority="353" operator="equal">
      <formula>"야"</formula>
    </cfRule>
    <cfRule type="cellIs" dxfId="339" priority="354" operator="equal">
      <formula>"휴"</formula>
    </cfRule>
  </conditionalFormatting>
  <conditionalFormatting sqref="Z10:AF10 O10:W10 X10:Y11">
    <cfRule type="cellIs" dxfId="338" priority="675" operator="equal">
      <formula>"연"</formula>
    </cfRule>
  </conditionalFormatting>
  <conditionalFormatting sqref="AA9 X9 AD9">
    <cfRule type="cellIs" dxfId="337" priority="995" operator="equal">
      <formula>"연"</formula>
    </cfRule>
  </conditionalFormatting>
  <conditionalFormatting sqref="AA9">
    <cfRule type="cellIs" dxfId="336" priority="756" operator="equal">
      <formula>"연"</formula>
    </cfRule>
    <cfRule type="cellIs" dxfId="335" priority="992" operator="equal">
      <formula>"연"</formula>
    </cfRule>
    <cfRule type="cellIs" dxfId="334" priority="976" operator="equal">
      <formula>"연"</formula>
    </cfRule>
    <cfRule type="cellIs" dxfId="333" priority="975" operator="equal">
      <formula>"연"</formula>
    </cfRule>
    <cfRule type="cellIs" dxfId="332" priority="991" operator="equal">
      <formula>"연"</formula>
    </cfRule>
    <cfRule type="cellIs" dxfId="331" priority="755" operator="equal">
      <formula>"연"</formula>
    </cfRule>
  </conditionalFormatting>
  <conditionalFormatting sqref="AA11">
    <cfRule type="cellIs" dxfId="330" priority="580" operator="equal">
      <formula>"연"</formula>
    </cfRule>
    <cfRule type="cellIs" dxfId="329" priority="579" operator="equal">
      <formula>"연"</formula>
    </cfRule>
  </conditionalFormatting>
  <conditionalFormatting sqref="AA9:AB9">
    <cfRule type="cellIs" dxfId="328" priority="1192" operator="equal">
      <formula>"연"</formula>
    </cfRule>
    <cfRule type="cellIs" dxfId="327" priority="1191" operator="equal">
      <formula>"연"</formula>
    </cfRule>
  </conditionalFormatting>
  <conditionalFormatting sqref="AA10:AB10">
    <cfRule type="cellIs" dxfId="326" priority="864" operator="equal">
      <formula>"연"</formula>
    </cfRule>
    <cfRule type="cellIs" dxfId="325" priority="863" operator="equal">
      <formula>"연"</formula>
    </cfRule>
  </conditionalFormatting>
  <conditionalFormatting sqref="AA10:AC10">
    <cfRule type="cellIs" dxfId="324" priority="619" operator="equal">
      <formula>"연"</formula>
    </cfRule>
    <cfRule type="cellIs" dxfId="323" priority="620" operator="equal">
      <formula>"연"</formula>
    </cfRule>
    <cfRule type="cellIs" dxfId="322" priority="847" operator="equal">
      <formula>"연"</formula>
    </cfRule>
    <cfRule type="cellIs" dxfId="321" priority="848" operator="equal">
      <formula>"연"</formula>
    </cfRule>
  </conditionalFormatting>
  <conditionalFormatting sqref="AA10:AE10">
    <cfRule type="cellIs" dxfId="320" priority="855" operator="equal">
      <formula>"연"</formula>
    </cfRule>
    <cfRule type="cellIs" dxfId="319" priority="856" operator="equal">
      <formula>"연"</formula>
    </cfRule>
  </conditionalFormatting>
  <conditionalFormatting sqref="AA10:AF10">
    <cfRule type="cellIs" dxfId="318" priority="612" operator="equal">
      <formula>"연"</formula>
    </cfRule>
    <cfRule type="cellIs" dxfId="317" priority="611" operator="equal">
      <formula>"연"</formula>
    </cfRule>
    <cfRule type="cellIs" dxfId="316" priority="605" operator="equal">
      <formula>"야"</formula>
    </cfRule>
    <cfRule type="cellIs" dxfId="315" priority="606" operator="equal">
      <formula>"휴"</formula>
    </cfRule>
  </conditionalFormatting>
  <conditionalFormatting sqref="AB9 AE9 Y9:Y11">
    <cfRule type="cellIs" dxfId="314" priority="780" operator="equal">
      <formula>"연"</formula>
    </cfRule>
    <cfRule type="cellIs" dxfId="313" priority="779" operator="equal">
      <formula>"연"</formula>
    </cfRule>
  </conditionalFormatting>
  <conditionalFormatting sqref="AB9">
    <cfRule type="cellIs" dxfId="312" priority="743" operator="equal">
      <formula>"연"</formula>
    </cfRule>
    <cfRule type="cellIs" dxfId="311" priority="744" operator="equal">
      <formula>"연"</formula>
    </cfRule>
    <cfRule type="cellIs" dxfId="310" priority="776" operator="equal">
      <formula>"연"</formula>
    </cfRule>
    <cfRule type="cellIs" dxfId="309" priority="775" operator="equal">
      <formula>"연"</formula>
    </cfRule>
  </conditionalFormatting>
  <conditionalFormatting sqref="AB11:AC11">
    <cfRule type="cellIs" dxfId="308" priority="255" operator="equal">
      <formula>"연"</formula>
    </cfRule>
    <cfRule type="cellIs" dxfId="307" priority="256" operator="equal">
      <formula>"연"</formula>
    </cfRule>
  </conditionalFormatting>
  <conditionalFormatting sqref="AB9:AD9">
    <cfRule type="cellIs" dxfId="306" priority="959" operator="equal">
      <formula>"연"</formula>
    </cfRule>
    <cfRule type="cellIs" dxfId="305" priority="963" operator="equal">
      <formula>"연"</formula>
    </cfRule>
    <cfRule type="cellIs" dxfId="304" priority="964" operator="equal">
      <formula>"연"</formula>
    </cfRule>
    <cfRule type="cellIs" dxfId="303" priority="960" operator="equal">
      <formula>"연"</formula>
    </cfRule>
  </conditionalFormatting>
  <conditionalFormatting sqref="AB11:AD11">
    <cfRule type="cellIs" dxfId="302" priority="275" operator="equal">
      <formula>"연"</formula>
    </cfRule>
    <cfRule type="cellIs" dxfId="301" priority="276" operator="equal">
      <formula>"연"</formula>
    </cfRule>
    <cfRule type="cellIs" dxfId="300" priority="254" operator="equal">
      <formula>"휴"</formula>
    </cfRule>
    <cfRule type="cellIs" dxfId="299" priority="253" operator="equal">
      <formula>"야"</formula>
    </cfRule>
  </conditionalFormatting>
  <conditionalFormatting sqref="AB10:AE10">
    <cfRule type="cellIs" dxfId="298" priority="835" operator="equal">
      <formula>"연"</formula>
    </cfRule>
    <cfRule type="cellIs" dxfId="297" priority="836" operator="equal">
      <formula>"연"</formula>
    </cfRule>
  </conditionalFormatting>
  <conditionalFormatting sqref="AB9:AF9">
    <cfRule type="cellIs" dxfId="296" priority="735" operator="equal">
      <formula>"연"</formula>
    </cfRule>
    <cfRule type="cellIs" dxfId="295" priority="736" operator="equal">
      <formula>"연"</formula>
    </cfRule>
  </conditionalFormatting>
  <conditionalFormatting sqref="AC9 AF9">
    <cfRule type="cellIs" dxfId="294" priority="972" operator="equal">
      <formula>"연"</formula>
    </cfRule>
    <cfRule type="cellIs" dxfId="293" priority="971" operator="equal">
      <formula>"연"</formula>
    </cfRule>
  </conditionalFormatting>
  <conditionalFormatting sqref="AC11">
    <cfRule type="cellIs" dxfId="292" priority="551" operator="equal">
      <formula>"연"</formula>
    </cfRule>
    <cfRule type="cellIs" dxfId="291" priority="552" operator="equal">
      <formula>"연"</formula>
    </cfRule>
  </conditionalFormatting>
  <conditionalFormatting sqref="AC9:AD9">
    <cfRule type="cellIs" dxfId="290" priority="732" operator="equal">
      <formula>"연"</formula>
    </cfRule>
    <cfRule type="cellIs" dxfId="289" priority="731" operator="equal">
      <formula>"연"</formula>
    </cfRule>
    <cfRule type="cellIs" dxfId="288" priority="724" operator="equal">
      <formula>"연"</formula>
    </cfRule>
    <cfRule type="cellIs" dxfId="287" priority="727" operator="equal">
      <formula>"연"</formula>
    </cfRule>
    <cfRule type="cellIs" dxfId="286" priority="728" operator="equal">
      <formula>"연"</formula>
    </cfRule>
    <cfRule type="cellIs" dxfId="285" priority="723" operator="equal">
      <formula>"연"</formula>
    </cfRule>
  </conditionalFormatting>
  <conditionalFormatting sqref="AC9:AD10 P10:R10 T10:U10 W10:X10 Z10:AB10 AE10:AF10">
    <cfRule type="cellIs" dxfId="284" priority="1115" operator="equal">
      <formula>"연"</formula>
    </cfRule>
    <cfRule type="cellIs" dxfId="283" priority="1114" operator="equal">
      <formula>"연"</formula>
    </cfRule>
  </conditionalFormatting>
  <conditionalFormatting sqref="AC11:AD11">
    <cfRule type="cellIs" dxfId="282" priority="251" operator="equal">
      <formula>"연"</formula>
    </cfRule>
    <cfRule type="cellIs" dxfId="281" priority="555" operator="equal">
      <formula>"연"</formula>
    </cfRule>
    <cfRule type="cellIs" dxfId="280" priority="556" operator="equal">
      <formula>"연"</formula>
    </cfRule>
    <cfRule type="cellIs" dxfId="279" priority="264" operator="equal">
      <formula>"연"</formula>
    </cfRule>
    <cfRule type="cellIs" dxfId="278" priority="263" operator="equal">
      <formula>"연"</formula>
    </cfRule>
    <cfRule type="cellIs" dxfId="277" priority="252" operator="equal">
      <formula>"연"</formula>
    </cfRule>
  </conditionalFormatting>
  <conditionalFormatting sqref="AC9:AE9">
    <cfRule type="cellIs" dxfId="276" priority="712" operator="equal">
      <formula>"연"</formula>
    </cfRule>
    <cfRule type="cellIs" dxfId="275" priority="711" operator="equal">
      <formula>"연"</formula>
    </cfRule>
  </conditionalFormatting>
  <conditionalFormatting sqref="AC9:AG10">
    <cfRule type="cellIs" dxfId="274" priority="947" operator="equal">
      <formula>"연"</formula>
    </cfRule>
    <cfRule type="cellIs" dxfId="273" priority="948" operator="equal">
      <formula>"연"</formula>
    </cfRule>
  </conditionalFormatting>
  <conditionalFormatting sqref="AD9">
    <cfRule type="cellIs" dxfId="272" priority="955" operator="equal">
      <formula>"연"</formula>
    </cfRule>
    <cfRule type="cellIs" dxfId="271" priority="956" operator="equal">
      <formula>"연"</formula>
    </cfRule>
    <cfRule type="cellIs" dxfId="270" priority="719" operator="equal">
      <formula>"연"</formula>
    </cfRule>
    <cfRule type="cellIs" dxfId="269" priority="720" operator="equal">
      <formula>"연"</formula>
    </cfRule>
  </conditionalFormatting>
  <conditionalFormatting sqref="AD10">
    <cfRule type="cellIs" dxfId="268" priority="607" operator="equal">
      <formula>"연"</formula>
    </cfRule>
    <cfRule type="cellIs" dxfId="267" priority="608" operator="equal">
      <formula>"연"</formula>
    </cfRule>
  </conditionalFormatting>
  <conditionalFormatting sqref="AD11">
    <cfRule type="cellIs" dxfId="266" priority="227" operator="equal">
      <formula>"연"</formula>
    </cfRule>
    <cfRule type="cellIs" dxfId="265" priority="190" operator="equal">
      <formula>"연"</formula>
    </cfRule>
    <cfRule type="cellIs" dxfId="264" priority="223" operator="equal">
      <formula>"연"</formula>
    </cfRule>
    <cfRule type="cellIs" dxfId="263" priority="222" operator="equal">
      <formula>"연"</formula>
    </cfRule>
    <cfRule type="cellIs" dxfId="262" priority="219" operator="equal">
      <formula>"연"</formula>
    </cfRule>
    <cfRule type="cellIs" dxfId="261" priority="218" operator="equal">
      <formula>"연"</formula>
    </cfRule>
    <cfRule type="cellIs" dxfId="260" priority="215" operator="equal">
      <formula>"연"</formula>
    </cfRule>
    <cfRule type="cellIs" dxfId="259" priority="214" operator="equal">
      <formula>"연"</formula>
    </cfRule>
    <cfRule type="cellIs" dxfId="258" priority="211" operator="equal">
      <formula>"연"</formula>
    </cfRule>
    <cfRule type="cellIs" dxfId="257" priority="210" operator="equal">
      <formula>"연"</formula>
    </cfRule>
    <cfRule type="cellIs" dxfId="256" priority="564" operator="equal">
      <formula>"연"</formula>
    </cfRule>
    <cfRule type="cellIs" dxfId="255" priority="563" operator="equal">
      <formula>"연"</formula>
    </cfRule>
    <cfRule type="cellIs" dxfId="254" priority="207" operator="equal">
      <formula>"연"</formula>
    </cfRule>
    <cfRule type="cellIs" dxfId="253" priority="206" operator="equal">
      <formula>"연"</formula>
    </cfRule>
    <cfRule type="cellIs" dxfId="252" priority="203" operator="equal">
      <formula>"연"</formula>
    </cfRule>
    <cfRule type="cellIs" dxfId="251" priority="202" operator="equal">
      <formula>"연"</formula>
    </cfRule>
    <cfRule type="cellIs" dxfId="250" priority="199" operator="equal">
      <formula>"연"</formula>
    </cfRule>
    <cfRule type="cellIs" dxfId="249" priority="198" operator="equal">
      <formula>"연"</formula>
    </cfRule>
    <cfRule type="cellIs" dxfId="248" priority="195" operator="equal">
      <formula>"연"</formula>
    </cfRule>
    <cfRule type="cellIs" dxfId="247" priority="194" operator="equal">
      <formula>"연"</formula>
    </cfRule>
    <cfRule type="cellIs" dxfId="246" priority="191" operator="equal">
      <formula>"연"</formula>
    </cfRule>
    <cfRule type="cellIs" dxfId="245" priority="187" operator="equal">
      <formula>"연"</formula>
    </cfRule>
    <cfRule type="cellIs" dxfId="244" priority="186" operator="equal">
      <formula>"연"</formula>
    </cfRule>
    <cfRule type="cellIs" dxfId="243" priority="183" operator="equal">
      <formula>"연"</formula>
    </cfRule>
    <cfRule type="cellIs" dxfId="242" priority="182" operator="equal">
      <formula>"연"</formula>
    </cfRule>
    <cfRule type="cellIs" dxfId="241" priority="179" operator="equal">
      <formula>"연"</formula>
    </cfRule>
    <cfRule type="cellIs" dxfId="240" priority="178" operator="equal">
      <formula>"연"</formula>
    </cfRule>
    <cfRule type="cellIs" dxfId="239" priority="175" operator="equal">
      <formula>"연"</formula>
    </cfRule>
    <cfRule type="cellIs" dxfId="238" priority="174" operator="equal">
      <formula>"연"</formula>
    </cfRule>
    <cfRule type="cellIs" dxfId="237" priority="226" operator="equal">
      <formula>"연"</formula>
    </cfRule>
    <cfRule type="cellIs" dxfId="236" priority="272" operator="equal">
      <formula>"연"</formula>
    </cfRule>
    <cfRule type="cellIs" dxfId="235" priority="271" operator="equal">
      <formula>"연"</formula>
    </cfRule>
    <cfRule type="cellIs" dxfId="234" priority="239" operator="equal">
      <formula>"연"</formula>
    </cfRule>
    <cfRule type="cellIs" dxfId="233" priority="238" operator="equal">
      <formula>"연"</formula>
    </cfRule>
    <cfRule type="cellIs" dxfId="232" priority="235" operator="equal">
      <formula>"연"</formula>
    </cfRule>
    <cfRule type="cellIs" dxfId="231" priority="234" operator="equal">
      <formula>"연"</formula>
    </cfRule>
    <cfRule type="cellIs" dxfId="230" priority="231" operator="equal">
      <formula>"연"</formula>
    </cfRule>
    <cfRule type="cellIs" dxfId="229" priority="230" operator="equal">
      <formula>"연"</formula>
    </cfRule>
  </conditionalFormatting>
  <conditionalFormatting sqref="AD10:AF10">
    <cfRule type="cellIs" dxfId="228" priority="603" operator="equal">
      <formula>"연"</formula>
    </cfRule>
    <cfRule type="cellIs" dxfId="227" priority="604" operator="equal">
      <formula>"연"</formula>
    </cfRule>
    <cfRule type="cellIs" dxfId="226" priority="819" operator="equal">
      <formula>"연"</formula>
    </cfRule>
    <cfRule type="cellIs" dxfId="225" priority="820" operator="equal">
      <formula>"연"</formula>
    </cfRule>
    <cfRule type="cellIs" dxfId="224" priority="827" operator="equal">
      <formula>"연"</formula>
    </cfRule>
    <cfRule type="cellIs" dxfId="223" priority="828" operator="equal">
      <formula>"연"</formula>
    </cfRule>
  </conditionalFormatting>
  <conditionalFormatting sqref="AD15:AF17">
    <cfRule type="cellIs" dxfId="222" priority="50" operator="equal">
      <formula>"휴"</formula>
    </cfRule>
    <cfRule type="cellIs" dxfId="221" priority="49" operator="equal">
      <formula>"야"</formula>
    </cfRule>
  </conditionalFormatting>
  <conditionalFormatting sqref="AE9">
    <cfRule type="cellIs" dxfId="220" priority="707" operator="equal">
      <formula>"연"</formula>
    </cfRule>
    <cfRule type="cellIs" dxfId="219" priority="708" operator="equal">
      <formula>"연"</formula>
    </cfRule>
  </conditionalFormatting>
  <conditionalFormatting sqref="AE9:AE10">
    <cfRule type="cellIs" dxfId="218" priority="671" operator="equal">
      <formula>"연"</formula>
    </cfRule>
    <cfRule type="cellIs" dxfId="217" priority="672" operator="equal">
      <formula>"연"</formula>
    </cfRule>
  </conditionalFormatting>
  <conditionalFormatting sqref="AE9:AG9">
    <cfRule type="cellIs" dxfId="216" priority="943" operator="equal">
      <formula>"연"</formula>
    </cfRule>
    <cfRule type="cellIs" dxfId="215" priority="944" operator="equal">
      <formula>"연"</formula>
    </cfRule>
    <cfRule type="cellIs" dxfId="214" priority="939" operator="equal">
      <formula>"연"</formula>
    </cfRule>
    <cfRule type="cellIs" dxfId="213" priority="940" operator="equal">
      <formula>"연"</formula>
    </cfRule>
  </conditionalFormatting>
  <conditionalFormatting sqref="AF9:AF11">
    <cfRule type="cellIs" dxfId="212" priority="341" operator="equal">
      <formula>"야"</formula>
    </cfRule>
    <cfRule type="cellIs" dxfId="211" priority="342" operator="equal">
      <formula>"휴"</formula>
    </cfRule>
  </conditionalFormatting>
  <conditionalFormatting sqref="AF11:AG11">
    <cfRule type="cellIs" dxfId="210" priority="536" operator="equal">
      <formula>"연"</formula>
    </cfRule>
    <cfRule type="cellIs" dxfId="209" priority="535" operator="equal">
      <formula>"연"</formula>
    </cfRule>
  </conditionalFormatting>
  <conditionalFormatting sqref="AG8:AG9">
    <cfRule type="cellIs" dxfId="208" priority="937" operator="equal">
      <formula>"야"</formula>
    </cfRule>
    <cfRule type="cellIs" dxfId="207" priority="938" operator="equal">
      <formula>"휴"</formula>
    </cfRule>
  </conditionalFormatting>
  <conditionalFormatting sqref="AG9">
    <cfRule type="cellIs" dxfId="206" priority="935" operator="equal">
      <formula>"연"</formula>
    </cfRule>
    <cfRule type="cellIs" dxfId="205" priority="936" operator="equal">
      <formula>"연"</formula>
    </cfRule>
  </conditionalFormatting>
  <conditionalFormatting sqref="AG11">
    <cfRule type="cellIs" dxfId="204" priority="547" operator="equal">
      <formula>"연"</formula>
    </cfRule>
    <cfRule type="cellIs" dxfId="203" priority="548" operator="equal">
      <formula>"연"</formula>
    </cfRule>
    <cfRule type="cellIs" dxfId="202" priority="544" operator="equal">
      <formula>"연"</formula>
    </cfRule>
    <cfRule type="cellIs" dxfId="201" priority="543" operator="equal">
      <formula>"연"</formula>
    </cfRule>
  </conditionalFormatting>
  <conditionalFormatting sqref="AH6:AH8">
    <cfRule type="cellIs" dxfId="200" priority="1275" operator="equal">
      <formula>"연"</formula>
    </cfRule>
  </conditionalFormatting>
  <conditionalFormatting sqref="AH6:AH21 C11:O11 X11:AG11 AT11:AT21">
    <cfRule type="cellIs" dxfId="199" priority="1259" operator="equal">
      <formula>"연"</formula>
    </cfRule>
  </conditionalFormatting>
  <conditionalFormatting sqref="AJ4:AJ24">
    <cfRule type="cellIs" dxfId="198" priority="170" operator="equal">
      <formula>"연"</formula>
    </cfRule>
  </conditionalFormatting>
  <conditionalFormatting sqref="AJ4:AJ25 AI23">
    <cfRule type="cellIs" dxfId="197" priority="1407" operator="equal">
      <formula>"휴"</formula>
    </cfRule>
  </conditionalFormatting>
  <conditionalFormatting sqref="AN37">
    <cfRule type="colorScale" priority="1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">
    <cfRule type="colorScale" priority="1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9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0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1:AN42">
    <cfRule type="colorScale" priority="1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">
    <cfRule type="cellIs" dxfId="196" priority="408" operator="equal">
      <formula>"연"</formula>
    </cfRule>
    <cfRule type="cellIs" dxfId="195" priority="412" operator="equal">
      <formula>"연"</formula>
    </cfRule>
    <cfRule type="cellIs" dxfId="194" priority="409" operator="equal">
      <formula>"연"</formula>
    </cfRule>
    <cfRule type="cellIs" dxfId="193" priority="413" operator="equal">
      <formula>"연"</formula>
    </cfRule>
    <cfRule type="cellIs" dxfId="192" priority="416" operator="equal">
      <formula>"연"</formula>
    </cfRule>
    <cfRule type="cellIs" dxfId="191" priority="417" operator="equal">
      <formula>"연"</formula>
    </cfRule>
  </conditionalFormatting>
  <conditionalFormatting sqref="AO9:AP9">
    <cfRule type="cellIs" dxfId="190" priority="487" operator="equal">
      <formula>"연"</formula>
    </cfRule>
    <cfRule type="cellIs" dxfId="189" priority="486" operator="equal">
      <formula>"연"</formula>
    </cfRule>
  </conditionalFormatting>
  <conditionalFormatting sqref="AO10:AP10">
    <cfRule type="cellIs" dxfId="188" priority="432" operator="equal">
      <formula>"연"</formula>
    </cfRule>
    <cfRule type="cellIs" dxfId="187" priority="404" operator="equal">
      <formula>"연"</formula>
    </cfRule>
    <cfRule type="cellIs" dxfId="186" priority="400" operator="equal">
      <formula>"연"</formula>
    </cfRule>
    <cfRule type="cellIs" dxfId="185" priority="401" operator="equal">
      <formula>"연"</formula>
    </cfRule>
    <cfRule type="cellIs" dxfId="184" priority="405" operator="equal">
      <formula>"연"</formula>
    </cfRule>
    <cfRule type="cellIs" dxfId="183" priority="424" operator="equal">
      <formula>"연"</formula>
    </cfRule>
    <cfRule type="cellIs" dxfId="182" priority="425" operator="equal">
      <formula>"연"</formula>
    </cfRule>
    <cfRule type="cellIs" dxfId="181" priority="436" operator="equal">
      <formula>"연"</formula>
    </cfRule>
    <cfRule type="cellIs" dxfId="180" priority="437" operator="equal">
      <formula>"연"</formula>
    </cfRule>
    <cfRule type="cellIs" dxfId="179" priority="433" operator="equal">
      <formula>"연"</formula>
    </cfRule>
  </conditionalFormatting>
  <conditionalFormatting sqref="AO6:AQ10">
    <cfRule type="cellIs" dxfId="178" priority="457" operator="equal">
      <formula>"연"</formula>
    </cfRule>
    <cfRule type="cellIs" dxfId="177" priority="456" operator="equal">
      <formula>"연"</formula>
    </cfRule>
  </conditionalFormatting>
  <conditionalFormatting sqref="AO6:AQ21">
    <cfRule type="cellIs" dxfId="176" priority="135" operator="equal">
      <formula>"야"</formula>
    </cfRule>
    <cfRule type="cellIs" dxfId="175" priority="136" operator="equal">
      <formula>"휴"</formula>
    </cfRule>
    <cfRule type="cellIs" dxfId="174" priority="124" operator="equal">
      <formula>"특"</formula>
    </cfRule>
  </conditionalFormatting>
  <conditionalFormatting sqref="AO9:AQ9">
    <cfRule type="cellIs" dxfId="173" priority="448" operator="equal">
      <formula>"연"</formula>
    </cfRule>
    <cfRule type="cellIs" dxfId="172" priority="449" operator="equal">
      <formula>"연"</formula>
    </cfRule>
    <cfRule type="cellIs" dxfId="171" priority="452" operator="equal">
      <formula>"연"</formula>
    </cfRule>
    <cfRule type="cellIs" dxfId="170" priority="453" operator="equal">
      <formula>"연"</formula>
    </cfRule>
    <cfRule type="cellIs" dxfId="169" priority="420" operator="equal">
      <formula>"연"</formula>
    </cfRule>
    <cfRule type="cellIs" dxfId="168" priority="421" operator="equal">
      <formula>"연"</formula>
    </cfRule>
    <cfRule type="cellIs" dxfId="167" priority="495" operator="equal">
      <formula>"연"</formula>
    </cfRule>
    <cfRule type="cellIs" dxfId="166" priority="494" operator="equal">
      <formula>"연"</formula>
    </cfRule>
  </conditionalFormatting>
  <conditionalFormatting sqref="AO9:AQ11">
    <cfRule type="cellIs" dxfId="165" priority="510" operator="equal">
      <formula>"연"</formula>
    </cfRule>
    <cfRule type="cellIs" dxfId="164" priority="511" operator="equal">
      <formula>"연"</formula>
    </cfRule>
  </conditionalFormatting>
  <conditionalFormatting sqref="AO10:AQ10">
    <cfRule type="cellIs" dxfId="163" priority="470" operator="equal">
      <formula>"연"</formula>
    </cfRule>
    <cfRule type="cellIs" dxfId="162" priority="469" operator="equal">
      <formula>"연"</formula>
    </cfRule>
    <cfRule type="cellIs" dxfId="161" priority="477" operator="equal">
      <formula>"연"</formula>
    </cfRule>
    <cfRule type="cellIs" dxfId="160" priority="478" operator="equal">
      <formula>"연"</formula>
    </cfRule>
  </conditionalFormatting>
  <conditionalFormatting sqref="AO10:AQ11">
    <cfRule type="cellIs" dxfId="159" priority="482" operator="equal">
      <formula>"연"</formula>
    </cfRule>
    <cfRule type="cellIs" dxfId="158" priority="481" operator="equal">
      <formula>"연"</formula>
    </cfRule>
  </conditionalFormatting>
  <conditionalFormatting sqref="AO12:AQ20">
    <cfRule type="cellIs" dxfId="157" priority="4" operator="equal">
      <formula>"연"</formula>
    </cfRule>
    <cfRule type="cellIs" dxfId="156" priority="3" operator="equal">
      <formula>"연"</formula>
    </cfRule>
  </conditionalFormatting>
  <conditionalFormatting sqref="AO21:AQ21">
    <cfRule type="cellIs" dxfId="155" priority="126" operator="equal">
      <formula>"연"</formula>
    </cfRule>
    <cfRule type="cellIs" dxfId="154" priority="125" operator="equal">
      <formula>"연"</formula>
    </cfRule>
  </conditionalFormatting>
  <conditionalFormatting sqref="AO12:AR14">
    <cfRule type="cellIs" dxfId="153" priority="38" operator="equal">
      <formula>"휴"</formula>
    </cfRule>
    <cfRule type="cellIs" dxfId="152" priority="37" operator="equal">
      <formula>"야"</formula>
    </cfRule>
    <cfRule type="cellIs" dxfId="151" priority="42" operator="equal">
      <formula>"연"</formula>
    </cfRule>
    <cfRule type="cellIs" dxfId="150" priority="41" operator="equal">
      <formula>"연"</formula>
    </cfRule>
  </conditionalFormatting>
  <conditionalFormatting sqref="AO18:AR20">
    <cfRule type="cellIs" dxfId="149" priority="5" operator="equal">
      <formula>"연"</formula>
    </cfRule>
    <cfRule type="cellIs" dxfId="148" priority="6" operator="equal">
      <formula>"연"</formula>
    </cfRule>
  </conditionalFormatting>
  <conditionalFormatting sqref="AO18:AR24">
    <cfRule type="cellIs" dxfId="147" priority="1" operator="equal">
      <formula>"야"</formula>
    </cfRule>
    <cfRule type="cellIs" dxfId="146" priority="2" operator="equal">
      <formula>"휴"</formula>
    </cfRule>
  </conditionalFormatting>
  <conditionalFormatting sqref="AO21:AR24">
    <cfRule type="cellIs" dxfId="145" priority="133" operator="equal">
      <formula>"연"</formula>
    </cfRule>
    <cfRule type="cellIs" dxfId="144" priority="134" operator="equal">
      <formula>"연"</formula>
    </cfRule>
  </conditionalFormatting>
  <conditionalFormatting sqref="AP9:AP11">
    <cfRule type="cellIs" dxfId="143" priority="383" operator="equal">
      <formula>"휴"</formula>
    </cfRule>
    <cfRule type="cellIs" dxfId="142" priority="382" operator="equal">
      <formula>"야"</formula>
    </cfRule>
  </conditionalFormatting>
  <conditionalFormatting sqref="AP11:AP14 AP18:AP21">
    <cfRule type="cellIs" dxfId="141" priority="121" operator="equal">
      <formula>"연"</formula>
    </cfRule>
    <cfRule type="cellIs" dxfId="140" priority="120" operator="equal">
      <formula>"연"</formula>
    </cfRule>
  </conditionalFormatting>
  <conditionalFormatting sqref="AP11:AQ11">
    <cfRule type="cellIs" dxfId="139" priority="385" operator="equal">
      <formula>"연"</formula>
    </cfRule>
    <cfRule type="cellIs" dxfId="138" priority="384" operator="equal">
      <formula>"연"</formula>
    </cfRule>
  </conditionalFormatting>
  <conditionalFormatting sqref="AQ9">
    <cfRule type="cellIs" dxfId="137" priority="444" operator="equal">
      <formula>"연"</formula>
    </cfRule>
    <cfRule type="cellIs" dxfId="136" priority="447" operator="equal">
      <formula>"휴"</formula>
    </cfRule>
    <cfRule type="cellIs" dxfId="135" priority="446" operator="equal">
      <formula>"야"</formula>
    </cfRule>
    <cfRule type="cellIs" dxfId="134" priority="445" operator="equal">
      <formula>"연"</formula>
    </cfRule>
  </conditionalFormatting>
  <conditionalFormatting sqref="AQ11">
    <cfRule type="cellIs" dxfId="133" priority="390" operator="equal">
      <formula>"야"</formula>
    </cfRule>
    <cfRule type="cellIs" dxfId="132" priority="397" operator="equal">
      <formula>"연"</formula>
    </cfRule>
    <cfRule type="cellIs" dxfId="131" priority="392" operator="equal">
      <formula>"연"</formula>
    </cfRule>
    <cfRule type="cellIs" dxfId="130" priority="391" operator="equal">
      <formula>"휴"</formula>
    </cfRule>
    <cfRule type="cellIs" dxfId="129" priority="393" operator="equal">
      <formula>"연"</formula>
    </cfRule>
    <cfRule type="cellIs" dxfId="128" priority="396" operator="equal">
      <formula>"연"</formula>
    </cfRule>
  </conditionalFormatting>
  <conditionalFormatting sqref="AR7:AR11">
    <cfRule type="cellIs" dxfId="127" priority="1286" operator="equal">
      <formula>"연"</formula>
    </cfRule>
    <cfRule type="cellIs" dxfId="126" priority="1289" operator="equal">
      <formula>"휴"</formula>
    </cfRule>
    <cfRule type="cellIs" dxfId="125" priority="1288" operator="equal">
      <formula>"야"</formula>
    </cfRule>
    <cfRule type="cellIs" dxfId="124" priority="1287" operator="equal">
      <formula>"연"</formula>
    </cfRule>
  </conditionalFormatting>
  <conditionalFormatting sqref="AT6:AT9">
    <cfRule type="cellIs" dxfId="123" priority="1285" operator="equal">
      <formula>"휴"</formula>
    </cfRule>
    <cfRule type="cellIs" dxfId="122" priority="1284" operator="equal">
      <formula>"야"</formula>
    </cfRule>
    <cfRule type="cellIs" dxfId="121" priority="1282" operator="equal">
      <formula>"연"</formula>
    </cfRule>
    <cfRule type="cellIs" dxfId="120" priority="1283" operator="equal">
      <formula>"연"</formula>
    </cfRule>
  </conditionalFormatting>
  <pageMargins left="0.7" right="0.7" top="0.75" bottom="0.75" header="0.3" footer="0.3"/>
  <pageSetup paperSize="9" orientation="landscape" useFirstPageNumber="1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1778-604E-46CD-BF11-366D98574340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23D6-C060-4094-91F2-9CF5364D41B9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F183-D159-430A-90A9-32275232F975}">
  <sheetPr>
    <pageSetUpPr fitToPage="1"/>
  </sheetPr>
  <dimension ref="A1:V21"/>
  <sheetViews>
    <sheetView topLeftCell="A2" zoomScaleNormal="100" zoomScaleSheetLayoutView="75" workbookViewId="0">
      <selection activeCell="O9" sqref="O9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119" priority="3" operator="equal">
      <formula>"연"</formula>
    </cfRule>
    <cfRule type="cellIs" dxfId="118" priority="4" operator="equal">
      <formula>"연"</formula>
    </cfRule>
    <cfRule type="cellIs" dxfId="117" priority="5" operator="equal">
      <formula>"야"</formula>
    </cfRule>
    <cfRule type="cellIs" dxfId="116" priority="6" operator="equal">
      <formula>"휴"</formula>
    </cfRule>
  </conditionalFormatting>
  <conditionalFormatting sqref="B6:Q6">
    <cfRule type="cellIs" dxfId="115" priority="7" operator="equal">
      <formula>"연"</formula>
    </cfRule>
    <cfRule type="cellIs" dxfId="114" priority="8" operator="equal">
      <formula>"연"</formula>
    </cfRule>
    <cfRule type="cellIs" dxfId="113" priority="9" operator="equal">
      <formula>"야"</formula>
    </cfRule>
    <cfRule type="cellIs" dxfId="112" priority="10" operator="equal">
      <formula>"휴"</formula>
    </cfRule>
  </conditionalFormatting>
  <conditionalFormatting sqref="B10:Q10">
    <cfRule type="cellIs" dxfId="111" priority="1" operator="equal">
      <formula>"연"</formula>
    </cfRule>
  </conditionalFormatting>
  <conditionalFormatting sqref="C5:Q5">
    <cfRule type="cellIs" dxfId="1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C31-2F65-43EF-8A92-745D183F52D9}">
  <sheetPr>
    <pageSetUpPr fitToPage="1"/>
  </sheetPr>
  <dimension ref="A1:V21"/>
  <sheetViews>
    <sheetView zoomScaleNormal="100" zoomScaleSheetLayoutView="75" workbookViewId="0">
      <selection activeCell="B6" sqref="B6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109" priority="3" operator="equal">
      <formula>"연"</formula>
    </cfRule>
    <cfRule type="cellIs" dxfId="108" priority="4" operator="equal">
      <formula>"연"</formula>
    </cfRule>
    <cfRule type="cellIs" dxfId="107" priority="5" operator="equal">
      <formula>"야"</formula>
    </cfRule>
    <cfRule type="cellIs" dxfId="106" priority="6" operator="equal">
      <formula>"휴"</formula>
    </cfRule>
  </conditionalFormatting>
  <conditionalFormatting sqref="B6:Q6">
    <cfRule type="cellIs" dxfId="105" priority="7" operator="equal">
      <formula>"연"</formula>
    </cfRule>
    <cfRule type="cellIs" dxfId="104" priority="8" operator="equal">
      <formula>"연"</formula>
    </cfRule>
    <cfRule type="cellIs" dxfId="103" priority="9" operator="equal">
      <formula>"야"</formula>
    </cfRule>
    <cfRule type="cellIs" dxfId="102" priority="10" operator="equal">
      <formula>"휴"</formula>
    </cfRule>
  </conditionalFormatting>
  <conditionalFormatting sqref="B10:Q10">
    <cfRule type="cellIs" dxfId="101" priority="1" operator="equal">
      <formula>"연"</formula>
    </cfRule>
  </conditionalFormatting>
  <conditionalFormatting sqref="C5:Q5">
    <cfRule type="cellIs" dxfId="10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546D-C090-4E28-8C66-91931AD52AB6}">
  <sheetPr>
    <pageSetUpPr fitToPage="1"/>
  </sheetPr>
  <dimension ref="A1:V21"/>
  <sheetViews>
    <sheetView topLeftCell="A3"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99" priority="3" operator="equal">
      <formula>"연"</formula>
    </cfRule>
    <cfRule type="cellIs" dxfId="98" priority="4" operator="equal">
      <formula>"연"</formula>
    </cfRule>
    <cfRule type="cellIs" dxfId="97" priority="5" operator="equal">
      <formula>"야"</formula>
    </cfRule>
    <cfRule type="cellIs" dxfId="96" priority="6" operator="equal">
      <formula>"휴"</formula>
    </cfRule>
  </conditionalFormatting>
  <conditionalFormatting sqref="B6:Q6">
    <cfRule type="cellIs" dxfId="95" priority="7" operator="equal">
      <formula>"연"</formula>
    </cfRule>
    <cfRule type="cellIs" dxfId="94" priority="8" operator="equal">
      <formula>"연"</formula>
    </cfRule>
    <cfRule type="cellIs" dxfId="93" priority="9" operator="equal">
      <formula>"야"</formula>
    </cfRule>
    <cfRule type="cellIs" dxfId="92" priority="10" operator="equal">
      <formula>"휴"</formula>
    </cfRule>
  </conditionalFormatting>
  <conditionalFormatting sqref="B10:Q10">
    <cfRule type="cellIs" dxfId="91" priority="1" operator="equal">
      <formula>"연"</formula>
    </cfRule>
  </conditionalFormatting>
  <conditionalFormatting sqref="C5:Q5">
    <cfRule type="cellIs" dxfId="9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59DA-6EE4-48E4-B228-D877F3C3179C}">
  <sheetPr>
    <pageSetUpPr fitToPage="1"/>
  </sheetPr>
  <dimension ref="A1:V21"/>
  <sheetViews>
    <sheetView topLeftCell="A4" zoomScaleNormal="100" zoomScaleSheetLayoutView="75" workbookViewId="0">
      <selection activeCell="A4" sqref="A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89" priority="3" operator="equal">
      <formula>"연"</formula>
    </cfRule>
    <cfRule type="cellIs" dxfId="88" priority="4" operator="equal">
      <formula>"연"</formula>
    </cfRule>
    <cfRule type="cellIs" dxfId="87" priority="5" operator="equal">
      <formula>"야"</formula>
    </cfRule>
    <cfRule type="cellIs" dxfId="86" priority="6" operator="equal">
      <formula>"휴"</formula>
    </cfRule>
  </conditionalFormatting>
  <conditionalFormatting sqref="B6:Q6">
    <cfRule type="cellIs" dxfId="85" priority="7" operator="equal">
      <formula>"연"</formula>
    </cfRule>
    <cfRule type="cellIs" dxfId="84" priority="8" operator="equal">
      <formula>"연"</formula>
    </cfRule>
    <cfRule type="cellIs" dxfId="83" priority="9" operator="equal">
      <formula>"야"</formula>
    </cfRule>
    <cfRule type="cellIs" dxfId="82" priority="10" operator="equal">
      <formula>"휴"</formula>
    </cfRule>
  </conditionalFormatting>
  <conditionalFormatting sqref="B10:Q10">
    <cfRule type="cellIs" dxfId="81" priority="1" operator="equal">
      <formula>"연"</formula>
    </cfRule>
  </conditionalFormatting>
  <conditionalFormatting sqref="C5:Q5">
    <cfRule type="cellIs" dxfId="8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1F31-9687-4248-8169-3ED852BFD94F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79" priority="3" operator="equal">
      <formula>"연"</formula>
    </cfRule>
    <cfRule type="cellIs" dxfId="78" priority="4" operator="equal">
      <formula>"연"</formula>
    </cfRule>
    <cfRule type="cellIs" dxfId="77" priority="5" operator="equal">
      <formula>"야"</formula>
    </cfRule>
    <cfRule type="cellIs" dxfId="76" priority="6" operator="equal">
      <formula>"휴"</formula>
    </cfRule>
  </conditionalFormatting>
  <conditionalFormatting sqref="B6:Q6">
    <cfRule type="cellIs" dxfId="75" priority="7" operator="equal">
      <formula>"연"</formula>
    </cfRule>
    <cfRule type="cellIs" dxfId="74" priority="8" operator="equal">
      <formula>"연"</formula>
    </cfRule>
    <cfRule type="cellIs" dxfId="73" priority="9" operator="equal">
      <formula>"야"</formula>
    </cfRule>
    <cfRule type="cellIs" dxfId="72" priority="10" operator="equal">
      <formula>"휴"</formula>
    </cfRule>
  </conditionalFormatting>
  <conditionalFormatting sqref="B10:Q10">
    <cfRule type="cellIs" dxfId="71" priority="1" operator="equal">
      <formula>"연"</formula>
    </cfRule>
  </conditionalFormatting>
  <conditionalFormatting sqref="C5:Q5">
    <cfRule type="cellIs" dxfId="7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FA-C88D-4B36-9172-198EF9A0E6C5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69" priority="3" operator="equal">
      <formula>"연"</formula>
    </cfRule>
    <cfRule type="cellIs" dxfId="68" priority="4" operator="equal">
      <formula>"연"</formula>
    </cfRule>
    <cfRule type="cellIs" dxfId="67" priority="5" operator="equal">
      <formula>"야"</formula>
    </cfRule>
    <cfRule type="cellIs" dxfId="66" priority="6" operator="equal">
      <formula>"휴"</formula>
    </cfRule>
  </conditionalFormatting>
  <conditionalFormatting sqref="B6:Q6">
    <cfRule type="cellIs" dxfId="65" priority="7" operator="equal">
      <formula>"연"</formula>
    </cfRule>
    <cfRule type="cellIs" dxfId="64" priority="8" operator="equal">
      <formula>"연"</formula>
    </cfRule>
    <cfRule type="cellIs" dxfId="63" priority="9" operator="equal">
      <formula>"야"</formula>
    </cfRule>
    <cfRule type="cellIs" dxfId="62" priority="10" operator="equal">
      <formula>"휴"</formula>
    </cfRule>
  </conditionalFormatting>
  <conditionalFormatting sqref="B10:Q10">
    <cfRule type="cellIs" dxfId="61" priority="1" operator="equal">
      <formula>"연"</formula>
    </cfRule>
  </conditionalFormatting>
  <conditionalFormatting sqref="C5:Q5">
    <cfRule type="cellIs" dxfId="6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08E0-2EF0-42E4-A567-2DF4B93ED393}">
  <sheetPr>
    <pageSetUpPr fitToPage="1"/>
  </sheetPr>
  <dimension ref="A1:V21"/>
  <sheetViews>
    <sheetView zoomScaleNormal="100" zoomScaleSheetLayoutView="75" workbookViewId="0">
      <selection activeCell="A2" sqref="A2:C2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59" priority="3" operator="equal">
      <formula>"연"</formula>
    </cfRule>
    <cfRule type="cellIs" dxfId="58" priority="4" operator="equal">
      <formula>"연"</formula>
    </cfRule>
    <cfRule type="cellIs" dxfId="57" priority="5" operator="equal">
      <formula>"야"</formula>
    </cfRule>
    <cfRule type="cellIs" dxfId="56" priority="6" operator="equal">
      <formula>"휴"</formula>
    </cfRule>
  </conditionalFormatting>
  <conditionalFormatting sqref="B6:Q6">
    <cfRule type="cellIs" dxfId="55" priority="7" operator="equal">
      <formula>"연"</formula>
    </cfRule>
    <cfRule type="cellIs" dxfId="54" priority="8" operator="equal">
      <formula>"연"</formula>
    </cfRule>
    <cfRule type="cellIs" dxfId="53" priority="9" operator="equal">
      <formula>"야"</formula>
    </cfRule>
    <cfRule type="cellIs" dxfId="52" priority="10" operator="equal">
      <formula>"휴"</formula>
    </cfRule>
  </conditionalFormatting>
  <conditionalFormatting sqref="B10:Q10">
    <cfRule type="cellIs" dxfId="51" priority="1" operator="equal">
      <formula>"연"</formula>
    </cfRule>
  </conditionalFormatting>
  <conditionalFormatting sqref="C5:Q5">
    <cfRule type="cellIs" dxfId="5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551B-1708-42C5-A1DB-77A8F664C2EE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49" priority="3" operator="equal">
      <formula>"연"</formula>
    </cfRule>
    <cfRule type="cellIs" dxfId="48" priority="4" operator="equal">
      <formula>"연"</formula>
    </cfRule>
    <cfRule type="cellIs" dxfId="47" priority="5" operator="equal">
      <formula>"야"</formula>
    </cfRule>
    <cfRule type="cellIs" dxfId="46" priority="6" operator="equal">
      <formula>"휴"</formula>
    </cfRule>
  </conditionalFormatting>
  <conditionalFormatting sqref="B6:Q6">
    <cfRule type="cellIs" dxfId="45" priority="7" operator="equal">
      <formula>"연"</formula>
    </cfRule>
    <cfRule type="cellIs" dxfId="44" priority="8" operator="equal">
      <formula>"연"</formula>
    </cfRule>
    <cfRule type="cellIs" dxfId="43" priority="9" operator="equal">
      <formula>"야"</formula>
    </cfRule>
    <cfRule type="cellIs" dxfId="42" priority="10" operator="equal">
      <formula>"휴"</formula>
    </cfRule>
  </conditionalFormatting>
  <conditionalFormatting sqref="B10:Q10">
    <cfRule type="cellIs" dxfId="41" priority="1" operator="equal">
      <formula>"연"</formula>
    </cfRule>
  </conditionalFormatting>
  <conditionalFormatting sqref="C5:Q5">
    <cfRule type="cellIs" dxfId="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B8A7D-6972-4ABE-8C92-7F7E2BBC2D3D}">
  <sheetPr>
    <pageSetUpPr fitToPage="1"/>
  </sheetPr>
  <dimension ref="A1:V21"/>
  <sheetViews>
    <sheetView zoomScaleNormal="100" zoomScaleSheetLayoutView="75" workbookViewId="0">
      <selection activeCell="B4" sqref="B4:T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/>
      <c r="S4" s="119"/>
      <c r="T4" s="73"/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/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/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/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/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/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/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/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39" priority="3" operator="equal">
      <formula>"연"</formula>
    </cfRule>
    <cfRule type="cellIs" dxfId="38" priority="4" operator="equal">
      <formula>"연"</formula>
    </cfRule>
    <cfRule type="cellIs" dxfId="37" priority="5" operator="equal">
      <formula>"야"</formula>
    </cfRule>
    <cfRule type="cellIs" dxfId="36" priority="6" operator="equal">
      <formula>"휴"</formula>
    </cfRule>
  </conditionalFormatting>
  <conditionalFormatting sqref="B6:Q6">
    <cfRule type="cellIs" dxfId="35" priority="7" operator="equal">
      <formula>"연"</formula>
    </cfRule>
    <cfRule type="cellIs" dxfId="34" priority="8" operator="equal">
      <formula>"연"</formula>
    </cfRule>
    <cfRule type="cellIs" dxfId="33" priority="9" operator="equal">
      <formula>"야"</formula>
    </cfRule>
    <cfRule type="cellIs" dxfId="32" priority="10" operator="equal">
      <formula>"휴"</formula>
    </cfRule>
  </conditionalFormatting>
  <conditionalFormatting sqref="B10:Q10">
    <cfRule type="cellIs" dxfId="31" priority="1" operator="equal">
      <formula>"연"</formula>
    </cfRule>
  </conditionalFormatting>
  <conditionalFormatting sqref="C5:Q5">
    <cfRule type="cellIs" dxfId="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B5EA-9485-42EE-9C93-6F367E4FF58D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29" priority="3" operator="equal">
      <formula>"연"</formula>
    </cfRule>
    <cfRule type="cellIs" dxfId="28" priority="4" operator="equal">
      <formula>"연"</formula>
    </cfRule>
    <cfRule type="cellIs" dxfId="27" priority="5" operator="equal">
      <formula>"야"</formula>
    </cfRule>
    <cfRule type="cellIs" dxfId="26" priority="6" operator="equal">
      <formula>"휴"</formula>
    </cfRule>
  </conditionalFormatting>
  <conditionalFormatting sqref="B6:Q6">
    <cfRule type="cellIs" dxfId="25" priority="7" operator="equal">
      <formula>"연"</formula>
    </cfRule>
    <cfRule type="cellIs" dxfId="24" priority="8" operator="equal">
      <formula>"연"</formula>
    </cfRule>
    <cfRule type="cellIs" dxfId="23" priority="9" operator="equal">
      <formula>"야"</formula>
    </cfRule>
    <cfRule type="cellIs" dxfId="22" priority="10" operator="equal">
      <formula>"휴"</formula>
    </cfRule>
  </conditionalFormatting>
  <conditionalFormatting sqref="B10:Q10">
    <cfRule type="cellIs" dxfId="21" priority="1" operator="equal">
      <formula>"연"</formula>
    </cfRule>
  </conditionalFormatting>
  <conditionalFormatting sqref="C5:Q5">
    <cfRule type="cellIs" dxfId="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28D-369B-4D17-AB52-E1B67E0155BA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11:O11">
    <cfRule type="cellIs" dxfId="19" priority="3" operator="equal">
      <formula>"연"</formula>
    </cfRule>
    <cfRule type="cellIs" dxfId="18" priority="4" operator="equal">
      <formula>"연"</formula>
    </cfRule>
    <cfRule type="cellIs" dxfId="17" priority="5" operator="equal">
      <formula>"야"</formula>
    </cfRule>
    <cfRule type="cellIs" dxfId="16" priority="6" operator="equal">
      <formula>"휴"</formula>
    </cfRule>
  </conditionalFormatting>
  <conditionalFormatting sqref="B6:Q6">
    <cfRule type="cellIs" dxfId="15" priority="7" operator="equal">
      <formula>"연"</formula>
    </cfRule>
    <cfRule type="cellIs" dxfId="14" priority="8" operator="equal">
      <formula>"연"</formula>
    </cfRule>
    <cfRule type="cellIs" dxfId="13" priority="9" operator="equal">
      <formula>"야"</formula>
    </cfRule>
    <cfRule type="cellIs" dxfId="12" priority="10" operator="equal">
      <formula>"휴"</formula>
    </cfRule>
  </conditionalFormatting>
  <conditionalFormatting sqref="B10:Q10">
    <cfRule type="cellIs" dxfId="11" priority="1" operator="equal">
      <formula>"연"</formula>
    </cfRule>
  </conditionalFormatting>
  <conditionalFormatting sqref="C5:Q5">
    <cfRule type="cellIs" dxfId="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1F-D231-4EB3-9B63-A6635D9DBB4B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 t="s">
        <v>52</v>
      </c>
      <c r="Q2" s="112" t="s">
        <v>51</v>
      </c>
      <c r="R2" s="112"/>
      <c r="S2" s="112"/>
      <c r="T2" s="112"/>
    </row>
    <row r="3" spans="1:22" ht="20.100000000000001" customHeight="1" thickBot="1">
      <c r="A3" s="113" t="s">
        <v>50</v>
      </c>
      <c r="B3" s="114"/>
      <c r="C3" s="114" t="s">
        <v>49</v>
      </c>
      <c r="D3" s="114"/>
      <c r="E3" s="115"/>
      <c r="F3" s="113" t="s">
        <v>48</v>
      </c>
      <c r="G3" s="114"/>
      <c r="H3" s="114" t="s">
        <v>47</v>
      </c>
      <c r="I3" s="114"/>
      <c r="J3" s="115"/>
      <c r="K3" s="113" t="s">
        <v>46</v>
      </c>
      <c r="L3" s="114"/>
      <c r="M3" s="114" t="s">
        <v>45</v>
      </c>
      <c r="N3" s="115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16" t="s">
        <v>43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42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41</v>
      </c>
      <c r="S6" s="123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39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 t="s">
        <v>38</v>
      </c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7"/>
      <c r="Q13" s="137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8"/>
      <c r="Q14" s="138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0:T20"/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  <mergeCell ref="S18:T18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A13:A14"/>
    <mergeCell ref="B13:B14"/>
    <mergeCell ref="C13:C14"/>
    <mergeCell ref="D13:D14"/>
    <mergeCell ref="E13:E14"/>
    <mergeCell ref="F13:F14"/>
    <mergeCell ref="G13:G14"/>
    <mergeCell ref="R4:S4"/>
    <mergeCell ref="R5:S5"/>
    <mergeCell ref="R6:S6"/>
    <mergeCell ref="R7:S7"/>
    <mergeCell ref="R8:T8"/>
    <mergeCell ref="R9:S9"/>
    <mergeCell ref="L13:L14"/>
    <mergeCell ref="M13:M14"/>
    <mergeCell ref="R10:S10"/>
    <mergeCell ref="S11:T11"/>
    <mergeCell ref="S12:T12"/>
    <mergeCell ref="N13:N14"/>
    <mergeCell ref="O13:O14"/>
    <mergeCell ref="P13:P14"/>
    <mergeCell ref="Q13:Q14"/>
    <mergeCell ref="S13:T13"/>
    <mergeCell ref="A2:C2"/>
    <mergeCell ref="Q2:T2"/>
    <mergeCell ref="A3:B3"/>
    <mergeCell ref="C3:E3"/>
    <mergeCell ref="F3:G3"/>
    <mergeCell ref="H3:J3"/>
    <mergeCell ref="K3:L3"/>
    <mergeCell ref="M3:N3"/>
    <mergeCell ref="S3:T3"/>
  </mergeCells>
  <phoneticPr fontId="19" type="noConversion"/>
  <conditionalFormatting sqref="B11:O11">
    <cfRule type="cellIs" dxfId="9" priority="3" operator="equal">
      <formula>"연"</formula>
    </cfRule>
    <cfRule type="cellIs" dxfId="8" priority="4" operator="equal">
      <formula>"연"</formula>
    </cfRule>
    <cfRule type="cellIs" dxfId="7" priority="5" operator="equal">
      <formula>"야"</formula>
    </cfRule>
    <cfRule type="cellIs" dxfId="6" priority="6" operator="equal">
      <formula>"휴"</formula>
    </cfRule>
  </conditionalFormatting>
  <conditionalFormatting sqref="B6:Q6">
    <cfRule type="cellIs" dxfId="5" priority="7" operator="equal">
      <formula>"연"</formula>
    </cfRule>
    <cfRule type="cellIs" dxfId="4" priority="8" operator="equal">
      <formula>"연"</formula>
    </cfRule>
    <cfRule type="cellIs" dxfId="3" priority="9" operator="equal">
      <formula>"야"</formula>
    </cfRule>
    <cfRule type="cellIs" dxfId="2" priority="10" operator="equal">
      <formula>"휴"</formula>
    </cfRule>
  </conditionalFormatting>
  <conditionalFormatting sqref="B10:Q10">
    <cfRule type="cellIs" dxfId="1" priority="1" operator="equal">
      <formula>"연"</formula>
    </cfRule>
  </conditionalFormatting>
  <conditionalFormatting sqref="C5:Q5">
    <cfRule type="cellIs" dxfId="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DC76-280D-490D-9247-4C6C3AC6EAB5}">
  <dimension ref="A1"/>
  <sheetViews>
    <sheetView workbookViewId="0">
      <selection activeCell="D6" sqref="D6"/>
    </sheetView>
  </sheetViews>
  <sheetFormatPr defaultRowHeight="16.5"/>
  <sheetData/>
  <phoneticPr fontId="1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J1"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28</vt:i4>
      </vt:variant>
      <vt:variant>
        <vt:lpstr>이름 지정된 범위</vt:lpstr>
      </vt:variant>
      <vt:variant>
        <vt:i4>1</vt:i4>
      </vt:variant>
    </vt:vector>
  </HeadingPairs>
  <TitlesOfParts>
    <vt:vector size="29" baseType="lpstr">
      <vt:lpstr>시간표</vt:lpstr>
      <vt:lpstr>selectedDay</vt:lpstr>
      <vt:lpstr>selectedNight</vt:lpstr>
      <vt:lpstr>worker0</vt:lpstr>
      <vt:lpstr>worker1</vt:lpstr>
      <vt:lpstr>worker2</vt:lpstr>
      <vt:lpstr>worker3</vt:lpstr>
      <vt:lpstr>worker4</vt:lpstr>
      <vt:lpstr>worker5</vt:lpstr>
      <vt:lpstr>worker6</vt:lpstr>
      <vt:lpstr>worker7</vt:lpstr>
      <vt:lpstr>worker8</vt:lpstr>
      <vt:lpstr>worker9</vt:lpstr>
      <vt:lpstr>worker10</vt:lpstr>
      <vt:lpstr>worker11</vt:lpstr>
      <vt:lpstr>default</vt:lpstr>
      <vt:lpstr>worker</vt:lpstr>
      <vt:lpstr>schedule</vt:lpstr>
      <vt:lpstr>nightWorkCount</vt:lpstr>
      <vt:lpstr>daySchedule</vt:lpstr>
      <vt:lpstr>nightSchedule</vt:lpstr>
      <vt:lpstr>groupCount</vt:lpstr>
      <vt:lpstr>totalSchedule</vt:lpstr>
      <vt:lpstr>groupSchedule</vt:lpstr>
      <vt:lpstr>dayWorkCount</vt:lpstr>
      <vt:lpstr>dayGroupCount</vt:lpstr>
      <vt:lpstr>nightGroupCount</vt:lpstr>
      <vt:lpstr>base</vt:lpstr>
      <vt:lpstr>시간표!Print_Area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2021-07-26T06:12:24Z</dcterms:created>
  <dcterms:modified xsi:type="dcterms:W3CDTF">2025-12-05T08:25:24Z</dcterms:modified>
  <cp:category/>
  <cp:contentStatus/>
</cp:coreProperties>
</file>