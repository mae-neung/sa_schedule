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DC87EFC6-2B48-4DCD-9A19-F7A18AA48AEE}" xr6:coauthVersionLast="47" xr6:coauthVersionMax="47" xr10:uidLastSave="{00000000-0000-0000-0000-000000000000}"/>
  <bookViews>
    <workbookView xWindow="-120" yWindow="-120" windowWidth="29040" windowHeight="15720" tabRatio="661" xr2:uid="{00000000-000D-0000-FFFF-FFFF00000000}"/>
  </bookViews>
  <sheets>
    <sheet name="시간표" sheetId="83" r:id="rId1"/>
    <sheet name="aloneCount" sheetId="103" state="hidden" r:id="rId2"/>
    <sheet name="selectedDay" sheetId="97" state="hidden" r:id="rId3"/>
    <sheet name="selectedNight" sheetId="98" state="hidden" r:id="rId4"/>
    <sheet name="worker0" sheetId="96" state="hidden" r:id="rId5"/>
    <sheet name="worker1" sheetId="95" state="hidden" r:id="rId6"/>
    <sheet name="worker2" sheetId="94" state="hidden" r:id="rId7"/>
    <sheet name="worker3" sheetId="93" state="hidden" r:id="rId8"/>
    <sheet name="worker4" sheetId="92" state="hidden" r:id="rId9"/>
    <sheet name="worker5" sheetId="91" state="hidden" r:id="rId10"/>
    <sheet name="worker6" sheetId="90" state="hidden" r:id="rId11"/>
    <sheet name="worker7" sheetId="88" state="hidden" r:id="rId12"/>
    <sheet name="worker8" sheetId="89" state="hidden" r:id="rId13"/>
    <sheet name="worker9" sheetId="87" state="hidden" r:id="rId14"/>
    <sheet name="worker10" sheetId="86" state="hidden" r:id="rId15"/>
    <sheet name="worker11" sheetId="85" state="hidden" r:id="rId16"/>
    <sheet name="worker12" sheetId="100" state="hidden" r:id="rId17"/>
    <sheet name="worker13" sheetId="101" state="hidden" r:id="rId18"/>
    <sheet name="worker14" sheetId="102" state="hidden" r:id="rId19"/>
    <sheet name="default" sheetId="1" state="hidden" r:id="rId20"/>
    <sheet name="worker" sheetId="2" state="hidden" r:id="rId21"/>
    <sheet name="schedule" sheetId="3" state="hidden" r:id="rId22"/>
    <sheet name="nightWorkCount" sheetId="9" state="hidden" r:id="rId23"/>
    <sheet name="groupCount" sheetId="84" state="hidden" r:id="rId24"/>
    <sheet name="totalSchedule" sheetId="6" state="hidden" r:id="rId25"/>
    <sheet name="dayWorkCount" sheetId="8" state="hidden" r:id="rId26"/>
    <sheet name="dayGroupCount" sheetId="10" state="hidden" r:id="rId27"/>
    <sheet name="nightGroupCount" sheetId="11" state="hidden" r:id="rId28"/>
    <sheet name="base" sheetId="12" state="hidden" r:id="rId29"/>
  </sheets>
  <externalReferences>
    <externalReference r:id="rId30"/>
    <externalReference r:id="rId31"/>
  </externalReferences>
  <definedNames>
    <definedName name="_xlnm.Print_Area" localSheetId="0">시간표!$A1:$AI20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02" l="1"/>
  <c r="A2" i="102"/>
  <c r="Q3" i="101"/>
  <c r="A2" i="101"/>
  <c r="Q3" i="100"/>
  <c r="A2" i="100"/>
  <c r="AG27" i="83"/>
  <c r="C26" i="83"/>
  <c r="D26" i="83"/>
  <c r="E26" i="83"/>
  <c r="F26" i="83"/>
  <c r="G26" i="83"/>
  <c r="H26" i="83"/>
  <c r="I26" i="83"/>
  <c r="J26" i="83"/>
  <c r="K26" i="83"/>
  <c r="L26" i="83"/>
  <c r="M26" i="83"/>
  <c r="N26" i="83"/>
  <c r="O26" i="83"/>
  <c r="P26" i="83"/>
  <c r="Q26" i="83"/>
  <c r="R26" i="83"/>
  <c r="S26" i="83"/>
  <c r="T26" i="83"/>
  <c r="U26" i="83"/>
  <c r="V26" i="83"/>
  <c r="W26" i="83"/>
  <c r="X26" i="83"/>
  <c r="Y26" i="83"/>
  <c r="Z26" i="83"/>
  <c r="AA26" i="83"/>
  <c r="AB26" i="83"/>
  <c r="AC26" i="83"/>
  <c r="AD26" i="83"/>
  <c r="AE26" i="83"/>
  <c r="AF26" i="83"/>
  <c r="AG26" i="83"/>
  <c r="C27" i="83"/>
  <c r="D27" i="83"/>
  <c r="E27" i="83"/>
  <c r="F27" i="83"/>
  <c r="G27" i="83"/>
  <c r="H27" i="83"/>
  <c r="I27" i="83"/>
  <c r="J27" i="83"/>
  <c r="K27" i="83"/>
  <c r="L27" i="83"/>
  <c r="M27" i="83"/>
  <c r="N27" i="83"/>
  <c r="O27" i="83"/>
  <c r="P27" i="83"/>
  <c r="Q27" i="83"/>
  <c r="R27" i="83"/>
  <c r="S27" i="83"/>
  <c r="T27" i="83"/>
  <c r="U27" i="83"/>
  <c r="V27" i="83"/>
  <c r="W27" i="83"/>
  <c r="X27" i="83"/>
  <c r="Y27" i="83"/>
  <c r="Z27" i="83"/>
  <c r="AA27" i="83"/>
  <c r="AB27" i="83"/>
  <c r="AC27" i="83"/>
  <c r="AD27" i="83"/>
  <c r="AE27" i="83"/>
  <c r="AF27" i="83"/>
  <c r="AL20" i="83"/>
  <c r="AK20" i="83"/>
  <c r="AI20" i="83"/>
  <c r="AL19" i="83"/>
  <c r="AK19" i="83"/>
  <c r="AI19" i="83"/>
  <c r="AL18" i="83"/>
  <c r="AK18" i="83"/>
  <c r="AI18" i="83"/>
  <c r="AL12" i="83"/>
  <c r="AI12" i="83"/>
  <c r="Q3" i="96"/>
  <c r="A2" i="96"/>
  <c r="Q3" i="95"/>
  <c r="A2" i="95"/>
  <c r="Q3" i="94"/>
  <c r="A2" i="94"/>
  <c r="Q3" i="93"/>
  <c r="A2" i="93"/>
  <c r="Q3" i="92"/>
  <c r="A2" i="92"/>
  <c r="Q3" i="91"/>
  <c r="A2" i="91"/>
  <c r="Q3" i="90"/>
  <c r="A2" i="90"/>
  <c r="Q3" i="89"/>
  <c r="A2" i="89"/>
  <c r="Q3" i="88"/>
  <c r="A2" i="88"/>
  <c r="Q3" i="87"/>
  <c r="A2" i="87"/>
  <c r="Q3" i="86"/>
  <c r="A2" i="86"/>
  <c r="A2" i="85"/>
  <c r="Q3" i="85"/>
  <c r="AD33" i="83"/>
  <c r="AC33" i="83"/>
  <c r="AD32" i="83"/>
  <c r="AC32" i="83"/>
  <c r="AD31" i="83"/>
  <c r="AC31" i="83"/>
  <c r="AD30" i="83"/>
  <c r="AC30" i="83"/>
  <c r="A1" i="83"/>
  <c r="AL16" i="83" l="1"/>
  <c r="AK12" i="83"/>
  <c r="AL17" i="83"/>
  <c r="AK16" i="83"/>
  <c r="AI16" i="83"/>
  <c r="AI17" i="83"/>
  <c r="AK17" i="83"/>
  <c r="AK15" i="83"/>
  <c r="AL21" i="83"/>
  <c r="AK21" i="83"/>
  <c r="AI21" i="83"/>
  <c r="AL14" i="83"/>
  <c r="AL15" i="83"/>
  <c r="AK14" i="83"/>
  <c r="AI13" i="83"/>
  <c r="AI14" i="83"/>
  <c r="AI15" i="83"/>
  <c r="AL13" i="83"/>
  <c r="AK13" i="83"/>
  <c r="AL10" i="83"/>
  <c r="AL8" i="83"/>
  <c r="AI7" i="83"/>
  <c r="AL6" i="83"/>
  <c r="AL11" i="83"/>
  <c r="AI11" i="83"/>
  <c r="AI6" i="83"/>
  <c r="AI9" i="83"/>
  <c r="AK8" i="83"/>
  <c r="AL9" i="83"/>
  <c r="AI10" i="83"/>
  <c r="AI8" i="83"/>
  <c r="AL7" i="83"/>
  <c r="AK10" i="83"/>
  <c r="AK6" i="83"/>
  <c r="AC34" i="83"/>
  <c r="AD34" i="83"/>
  <c r="AK11" i="83"/>
  <c r="AK9" i="83"/>
  <c r="AK7" i="83"/>
  <c r="AI27" i="83" l="1"/>
  <c r="AI26" i="83"/>
</calcChain>
</file>

<file path=xl/sharedStrings.xml><?xml version="1.0" encoding="utf-8"?>
<sst xmlns="http://schemas.openxmlformats.org/spreadsheetml/2006/main" count="566" uniqueCount="51">
  <si>
    <t>연번</t>
  </si>
  <si>
    <t>성명</t>
  </si>
  <si>
    <t>주</t>
  </si>
  <si>
    <t>야</t>
  </si>
  <si>
    <t>요청사항</t>
  </si>
  <si>
    <t>A조</t>
  </si>
  <si>
    <t>B조</t>
  </si>
  <si>
    <t>C조</t>
  </si>
  <si>
    <t>D조</t>
  </si>
  <si>
    <t>1인 근무</t>
  </si>
  <si>
    <t>주간조</t>
  </si>
  <si>
    <t>야간조</t>
  </si>
  <si>
    <t xml:space="preserve"> </t>
  </si>
  <si>
    <t>※ 역무팀장 지시사항</t>
  </si>
  <si>
    <t>연가는 가급적 3일이전에 승인을 받고 사용해 주시기 바랍니다.</t>
  </si>
  <si>
    <t>(연병가사용절차 :  해당일 동료요원 근무확인후 -&gt;</t>
  </si>
  <si>
    <t xml:space="preserve"> -&gt;당일 팀장님 승인을 득하고 -&gt; 정규명과장 통보)</t>
  </si>
  <si>
    <t>휴무 정리</t>
  </si>
  <si>
    <t xml:space="preserve">  </t>
  </si>
  <si>
    <t>이경</t>
  </si>
  <si>
    <t>역   장</t>
  </si>
  <si>
    <t>부역장</t>
  </si>
  <si>
    <t>비      고</t>
  </si>
  <si>
    <t>결            재</t>
  </si>
  <si>
    <t>근    태    사    유</t>
  </si>
  <si>
    <t>사 용 기 간(사용일수)</t>
  </si>
  <si>
    <r>
      <t>종별</t>
    </r>
    <r>
      <rPr>
        <sz val="9"/>
        <color rgb="FF000000"/>
        <rFont val="돋움"/>
        <family val="3"/>
        <charset val="129"/>
      </rPr>
      <t>(연/병가)</t>
    </r>
  </si>
  <si>
    <t>근  무  상  황</t>
  </si>
  <si>
    <t>외출</t>
  </si>
  <si>
    <t>확인</t>
  </si>
  <si>
    <t>지각</t>
  </si>
  <si>
    <t>본인</t>
  </si>
  <si>
    <t>조퇴</t>
  </si>
  <si>
    <t>근무형태</t>
  </si>
  <si>
    <t xml:space="preserve">당월병가사용일수 : </t>
  </si>
  <si>
    <t>요일</t>
  </si>
  <si>
    <t xml:space="preserve">총병가사용일수 : </t>
  </si>
  <si>
    <t>날 짜</t>
  </si>
  <si>
    <t>잔여 연가 일수 :</t>
  </si>
  <si>
    <t>본 인</t>
  </si>
  <si>
    <t>당월 사용연가 일수 :</t>
  </si>
  <si>
    <t>총부여 연가 일수 :</t>
  </si>
  <si>
    <t>이름</t>
    <phoneticPr fontId="17" type="noConversion"/>
  </si>
  <si>
    <t>근무지</t>
  </si>
  <si>
    <t>주.야간</t>
  </si>
  <si>
    <t>복무형태</t>
  </si>
  <si>
    <t>재난안전관리</t>
  </si>
  <si>
    <t>복무분야</t>
  </si>
  <si>
    <t>복무기관</t>
  </si>
  <si>
    <t>일 일 복 무 상 황 부</t>
  </si>
  <si>
    <t>수도권서부본부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</si>
</sst>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#,###&quot;일&quot;"/>
  </numFmts>
  <fonts count="32">
    <font>
      <sz val="11"/>
      <color theme="1"/>
      <name val="맑은 고딕"/>
      <family val="2"/>
      <scheme val="minor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u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name val="돋움"/>
      <family val="3"/>
      <charset val="129"/>
    </font>
    <font>
      <sz val="11"/>
      <color theme="1"/>
      <name val="돋움"/>
      <family val="3"/>
      <charset val="129"/>
    </font>
    <font>
      <sz val="8"/>
      <color theme="1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22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8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22"/>
      <color rgb="FF000000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E17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DCE6F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0" fillId="0" borderId="0">
      <alignment vertical="center"/>
    </xf>
    <xf numFmtId="0" fontId="27" fillId="0" borderId="0">
      <alignment vertical="center"/>
    </xf>
  </cellStyleXfs>
  <cellXfs count="15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3" borderId="3" xfId="0" applyFont="1" applyFill="1" applyBorder="1" applyAlignment="1">
      <alignment horizontal="center"/>
    </xf>
    <xf numFmtId="0" fontId="5" fillId="0" borderId="5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3" borderId="7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7" fillId="3" borderId="7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7" fillId="3" borderId="0" xfId="0" applyFont="1" applyFill="1" applyAlignment="1">
      <alignment horizontal="center"/>
    </xf>
    <xf numFmtId="0" fontId="8" fillId="0" borderId="6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0" fontId="17" fillId="2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176" fontId="2" fillId="3" borderId="0" xfId="0" applyNumberFormat="1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7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20" fillId="0" borderId="0" xfId="1">
      <alignment vertical="center"/>
    </xf>
    <xf numFmtId="0" fontId="24" fillId="0" borderId="1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0" fillId="12" borderId="2" xfId="1" applyFill="1" applyBorder="1">
      <alignment vertical="center"/>
    </xf>
    <xf numFmtId="0" fontId="26" fillId="12" borderId="28" xfId="1" applyFont="1" applyFill="1" applyBorder="1" applyAlignment="1">
      <alignment horizontal="center" vertical="center"/>
    </xf>
    <xf numFmtId="0" fontId="26" fillId="12" borderId="30" xfId="1" applyFont="1" applyFill="1" applyBorder="1" applyAlignment="1">
      <alignment horizontal="center" vertical="center"/>
    </xf>
    <xf numFmtId="0" fontId="20" fillId="0" borderId="1" xfId="1" applyBorder="1">
      <alignment vertical="center"/>
    </xf>
    <xf numFmtId="0" fontId="24" fillId="0" borderId="1" xfId="1" applyFont="1" applyBorder="1">
      <alignment vertical="center"/>
    </xf>
    <xf numFmtId="0" fontId="26" fillId="12" borderId="32" xfId="1" applyFont="1" applyFill="1" applyBorder="1" applyAlignment="1">
      <alignment horizontal="center" vertical="center"/>
    </xf>
    <xf numFmtId="0" fontId="14" fillId="3" borderId="1" xfId="2" applyFont="1" applyFill="1" applyBorder="1" applyAlignment="1">
      <alignment horizontal="center" vertical="center"/>
    </xf>
    <xf numFmtId="0" fontId="28" fillId="0" borderId="1" xfId="1" applyFont="1" applyBorder="1" applyAlignment="1">
      <alignment horizontal="center" vertical="center"/>
    </xf>
    <xf numFmtId="0" fontId="26" fillId="0" borderId="19" xfId="1" applyFont="1" applyBorder="1">
      <alignment vertical="center"/>
    </xf>
    <xf numFmtId="177" fontId="26" fillId="0" borderId="23" xfId="1" applyNumberFormat="1" applyFont="1" applyBorder="1">
      <alignment vertical="center"/>
    </xf>
    <xf numFmtId="0" fontId="24" fillId="0" borderId="0" xfId="1" applyFont="1">
      <alignment vertical="center"/>
    </xf>
    <xf numFmtId="177" fontId="24" fillId="0" borderId="19" xfId="1" applyNumberFormat="1" applyFont="1" applyBorder="1" applyAlignment="1">
      <alignment vertical="center" wrapText="1"/>
    </xf>
    <xf numFmtId="0" fontId="24" fillId="0" borderId="1" xfId="1" applyFont="1" applyBorder="1" applyAlignment="1">
      <alignment horizontal="center" vertical="center" shrinkToFit="1"/>
    </xf>
    <xf numFmtId="177" fontId="26" fillId="0" borderId="21" xfId="1" applyNumberFormat="1" applyFont="1" applyBorder="1" applyAlignment="1">
      <alignment vertical="center" wrapText="1"/>
    </xf>
    <xf numFmtId="177" fontId="26" fillId="0" borderId="21" xfId="1" applyNumberFormat="1" applyFont="1" applyBorder="1" applyAlignment="1">
      <alignment vertical="center" shrinkToFit="1"/>
    </xf>
    <xf numFmtId="0" fontId="21" fillId="0" borderId="0" xfId="1" applyFont="1">
      <alignment vertical="center"/>
    </xf>
    <xf numFmtId="177" fontId="21" fillId="12" borderId="37" xfId="1" applyNumberFormat="1" applyFont="1" applyFill="1" applyBorder="1" applyAlignment="1">
      <alignment horizontal="center" vertical="center" wrapText="1"/>
    </xf>
    <xf numFmtId="0" fontId="30" fillId="13" borderId="41" xfId="1" applyFont="1" applyFill="1" applyBorder="1" applyAlignment="1">
      <alignment horizontal="center" vertical="center"/>
    </xf>
    <xf numFmtId="0" fontId="24" fillId="13" borderId="40" xfId="1" applyFont="1" applyFill="1" applyBorder="1" applyAlignment="1">
      <alignment horizontal="center" vertical="center"/>
    </xf>
    <xf numFmtId="0" fontId="24" fillId="13" borderId="41" xfId="1" applyFont="1" applyFill="1" applyBorder="1">
      <alignment vertical="center"/>
    </xf>
    <xf numFmtId="0" fontId="24" fillId="13" borderId="42" xfId="1" applyFont="1" applyFill="1" applyBorder="1">
      <alignment vertical="center"/>
    </xf>
    <xf numFmtId="0" fontId="30" fillId="0" borderId="0" xfId="1" applyFont="1" applyAlignment="1">
      <alignment horizontal="right" vertical="center"/>
    </xf>
    <xf numFmtId="0" fontId="29" fillId="0" borderId="0" xfId="1" applyFont="1">
      <alignment vertical="center"/>
    </xf>
    <xf numFmtId="0" fontId="30" fillId="0" borderId="0" xfId="1" applyFont="1">
      <alignment vertical="center"/>
    </xf>
    <xf numFmtId="0" fontId="31" fillId="0" borderId="0" xfId="1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20" fillId="0" borderId="18" xfId="1" applyBorder="1" applyAlignment="1">
      <alignment horizontal="center" vertical="center"/>
    </xf>
    <xf numFmtId="0" fontId="20" fillId="0" borderId="20" xfId="1" applyBorder="1" applyAlignment="1">
      <alignment horizontal="center" vertical="center"/>
    </xf>
    <xf numFmtId="0" fontId="21" fillId="0" borderId="20" xfId="1" applyFont="1" applyBorder="1" applyAlignment="1">
      <alignment horizontal="center" vertical="center"/>
    </xf>
    <xf numFmtId="0" fontId="20" fillId="0" borderId="21" xfId="1" applyBorder="1" applyAlignment="1">
      <alignment horizontal="center" vertical="center"/>
    </xf>
    <xf numFmtId="0" fontId="21" fillId="0" borderId="18" xfId="1" applyFont="1" applyBorder="1" applyAlignment="1">
      <alignment horizontal="center" vertical="center"/>
    </xf>
    <xf numFmtId="0" fontId="20" fillId="0" borderId="19" xfId="1" applyBorder="1" applyAlignment="1">
      <alignment horizontal="center" vertical="center"/>
    </xf>
    <xf numFmtId="0" fontId="23" fillId="0" borderId="22" xfId="1" applyFont="1" applyBorder="1" applyAlignment="1">
      <alignment horizontal="center" vertical="center"/>
    </xf>
    <xf numFmtId="0" fontId="21" fillId="0" borderId="22" xfId="1" applyFont="1" applyBorder="1" applyAlignment="1">
      <alignment horizontal="center" vertical="center"/>
    </xf>
    <xf numFmtId="0" fontId="22" fillId="0" borderId="22" xfId="1" applyFont="1" applyBorder="1" applyAlignment="1">
      <alignment horizontal="center" vertical="center"/>
    </xf>
    <xf numFmtId="0" fontId="20" fillId="0" borderId="23" xfId="1" applyBorder="1" applyAlignment="1">
      <alignment horizontal="center" vertical="center"/>
    </xf>
    <xf numFmtId="0" fontId="20" fillId="0" borderId="22" xfId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25" xfId="1" applyFont="1" applyBorder="1" applyAlignment="1">
      <alignment horizontal="center" vertical="center"/>
    </xf>
    <xf numFmtId="0" fontId="24" fillId="0" borderId="24" xfId="1" applyFont="1" applyBorder="1" applyAlignment="1">
      <alignment horizontal="center" vertical="center"/>
    </xf>
    <xf numFmtId="0" fontId="24" fillId="0" borderId="1" xfId="1" applyFont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0" fillId="0" borderId="4" xfId="1" applyBorder="1" applyAlignment="1">
      <alignment horizontal="center" vertical="center"/>
    </xf>
    <xf numFmtId="0" fontId="20" fillId="0" borderId="2" xfId="1" applyBorder="1" applyAlignment="1">
      <alignment horizontal="center" vertical="center"/>
    </xf>
    <xf numFmtId="0" fontId="20" fillId="0" borderId="27" xfId="1" applyBorder="1" applyAlignment="1">
      <alignment horizontal="center" vertical="center"/>
    </xf>
    <xf numFmtId="0" fontId="20" fillId="0" borderId="26" xfId="1" applyBorder="1" applyAlignment="1">
      <alignment horizontal="center" vertical="center"/>
    </xf>
    <xf numFmtId="0" fontId="26" fillId="12" borderId="34" xfId="1" applyFont="1" applyFill="1" applyBorder="1">
      <alignment vertical="center"/>
    </xf>
    <xf numFmtId="0" fontId="26" fillId="12" borderId="33" xfId="1" applyFont="1" applyFill="1" applyBorder="1">
      <alignment vertical="center"/>
    </xf>
    <xf numFmtId="0" fontId="20" fillId="0" borderId="31" xfId="1" applyBorder="1" applyAlignment="1">
      <alignment horizontal="center" vertical="center"/>
    </xf>
    <xf numFmtId="0" fontId="20" fillId="0" borderId="29" xfId="1" applyBorder="1" applyAlignment="1">
      <alignment horizontal="center" vertical="center"/>
    </xf>
    <xf numFmtId="0" fontId="26" fillId="12" borderId="35" xfId="1" applyFont="1" applyFill="1" applyBorder="1" applyAlignment="1">
      <alignment horizontal="left" vertical="center"/>
    </xf>
    <xf numFmtId="0" fontId="26" fillId="12" borderId="31" xfId="1" applyFont="1" applyFill="1" applyBorder="1" applyAlignment="1">
      <alignment horizontal="left" vertical="center"/>
    </xf>
    <xf numFmtId="0" fontId="29" fillId="0" borderId="43" xfId="1" applyFont="1" applyBorder="1" applyAlignment="1">
      <alignment horizontal="center" vertical="center"/>
    </xf>
    <xf numFmtId="0" fontId="29" fillId="0" borderId="0" xfId="1" applyFont="1" applyAlignment="1">
      <alignment horizontal="center" vertical="center"/>
    </xf>
    <xf numFmtId="0" fontId="24" fillId="13" borderId="42" xfId="1" applyFont="1" applyFill="1" applyBorder="1" applyAlignment="1">
      <alignment horizontal="center" vertical="center"/>
    </xf>
    <xf numFmtId="0" fontId="24" fillId="13" borderId="41" xfId="1" applyFont="1" applyFill="1" applyBorder="1" applyAlignment="1">
      <alignment horizontal="center" vertical="center"/>
    </xf>
    <xf numFmtId="0" fontId="24" fillId="13" borderId="40" xfId="1" applyFont="1" applyFill="1" applyBorder="1" applyAlignment="1">
      <alignment horizontal="center" vertical="center"/>
    </xf>
    <xf numFmtId="0" fontId="29" fillId="13" borderId="41" xfId="1" applyFont="1" applyFill="1" applyBorder="1" applyAlignment="1">
      <alignment horizontal="center" vertical="center"/>
    </xf>
    <xf numFmtId="0" fontId="29" fillId="13" borderId="40" xfId="1" applyFont="1" applyFill="1" applyBorder="1" applyAlignment="1">
      <alignment horizontal="center" vertical="center"/>
    </xf>
    <xf numFmtId="0" fontId="26" fillId="12" borderId="39" xfId="1" applyFont="1" applyFill="1" applyBorder="1" applyAlignment="1">
      <alignment horizontal="left" vertical="center" wrapText="1"/>
    </xf>
    <xf numFmtId="0" fontId="26" fillId="12" borderId="38" xfId="1" applyFont="1" applyFill="1" applyBorder="1" applyAlignment="1">
      <alignment horizontal="left" vertical="center" wrapText="1"/>
    </xf>
    <xf numFmtId="0" fontId="26" fillId="12" borderId="36" xfId="1" applyFont="1" applyFill="1" applyBorder="1" applyAlignment="1">
      <alignment horizontal="left" vertical="center" shrinkToFit="1"/>
    </xf>
    <xf numFmtId="0" fontId="26" fillId="12" borderId="29" xfId="1" applyFont="1" applyFill="1" applyBorder="1" applyAlignment="1">
      <alignment horizontal="left" vertical="center" shrinkToFit="1"/>
    </xf>
    <xf numFmtId="0" fontId="26" fillId="12" borderId="36" xfId="1" applyFont="1" applyFill="1" applyBorder="1" applyAlignment="1">
      <alignment horizontal="left" vertical="center" wrapText="1"/>
    </xf>
    <xf numFmtId="0" fontId="26" fillId="12" borderId="29" xfId="1" applyFont="1" applyFill="1" applyBorder="1" applyAlignment="1">
      <alignment horizontal="left" vertical="center" wrapText="1"/>
    </xf>
    <xf numFmtId="0" fontId="26" fillId="12" borderId="34" xfId="1" applyFont="1" applyFill="1" applyBorder="1" applyAlignment="1">
      <alignment horizontal="left" vertical="center" wrapText="1"/>
    </xf>
    <xf numFmtId="0" fontId="26" fillId="12" borderId="33" xfId="1" applyFont="1" applyFill="1" applyBorder="1" applyAlignment="1">
      <alignment horizontal="left" vertical="center" wrapText="1"/>
    </xf>
    <xf numFmtId="0" fontId="21" fillId="0" borderId="6" xfId="1" applyFont="1" applyBorder="1" applyAlignment="1">
      <alignment horizontal="center" vertical="center" wrapText="1"/>
    </xf>
    <xf numFmtId="0" fontId="21" fillId="0" borderId="25" xfId="1" applyFont="1" applyBorder="1" applyAlignment="1">
      <alignment horizontal="center" vertical="center" wrapText="1"/>
    </xf>
    <xf numFmtId="0" fontId="21" fillId="0" borderId="24" xfId="1" applyFont="1" applyBorder="1" applyAlignment="1">
      <alignment horizontal="center" vertical="center" wrapText="1"/>
    </xf>
  </cellXfs>
  <cellStyles count="3">
    <cellStyle name="표준" xfId="0" builtinId="0"/>
    <cellStyle name="표준 2" xfId="1" xr:uid="{1463EC1F-6E2C-4171-9D4B-37B43A68D7EB}"/>
    <cellStyle name="표준 3" xfId="2" xr:uid="{56DA901B-AC40-412D-8C15-F6514328BF99}"/>
  </cellStyles>
  <dxfs count="619"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D9D9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ie\Downloads\&#49884;&#44036;&#54364;%20(7).xlsx" TargetMode="External"/><Relationship Id="rId1" Type="http://schemas.openxmlformats.org/officeDocument/2006/relationships/externalLinkPath" Target="file:///C:\Users\Damie\Downloads\&#49884;&#44036;&#54364;%20(7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ie\Downloads\&#51060;&#44053;&#50865;%202024&#45380;%201&#50900;%20&#49324;&#54924;&#48373;&#47924;&#50836;&#50896;%20&#44540;&#47924;&#52636;&#49437;&#54364;(&#50504;&#50577;&#50669;_&#48320;&#44221;&#50577;&#49885;).xlsx" TargetMode="External"/><Relationship Id="rId1" Type="http://schemas.openxmlformats.org/officeDocument/2006/relationships/externalLinkPath" Target="file:///C:\Users\Damie\Downloads\&#51060;&#44053;&#50865;%202024&#45380;%201&#50900;%20&#49324;&#54924;&#48373;&#47924;&#50836;&#50896;%20&#44540;&#47924;&#52636;&#49437;&#54364;(&#50504;&#50577;&#50669;_&#48320;&#44221;&#50577;&#4988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시간표"/>
      <sheetName val="ㅈㄱ"/>
      <sheetName val="ㅈㄱ1"/>
      <sheetName val="ㅈㄱ2"/>
      <sheetName val="ㅇㄱ"/>
      <sheetName val="ㅇㄱ1"/>
      <sheetName val="ㅇㄱ2"/>
      <sheetName val="ㅇㄱ3"/>
      <sheetName val="ㅇㄱ4"/>
      <sheetName val="worker8"/>
      <sheetName val="worker9"/>
      <sheetName val="worker10"/>
      <sheetName val="worker11"/>
      <sheetName val="default"/>
      <sheetName val="worker"/>
      <sheetName val="schedule"/>
      <sheetName val="nightWorkCount"/>
      <sheetName val="daySchedule"/>
      <sheetName val="nightSchedule"/>
      <sheetName val="groupCount"/>
      <sheetName val="totalSchedule"/>
      <sheetName val="groupSchedule"/>
      <sheetName val="dayWorkCount"/>
      <sheetName val="dayGroupCount"/>
      <sheetName val="nightGroupCount"/>
      <sheetName val="ba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>
            <v>2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안양역사복스케쥴"/>
      <sheetName val="연가계획표"/>
      <sheetName val="이기백"/>
      <sheetName val="김민석"/>
      <sheetName val="김정호"/>
      <sheetName val="전수현"/>
      <sheetName val="서 일"/>
      <sheetName val="김동윤"/>
      <sheetName val="김형우"/>
      <sheetName val="우승호"/>
      <sheetName val="김동명"/>
      <sheetName val="이강욱"/>
      <sheetName val="박상현"/>
      <sheetName val="이준행"/>
      <sheetName val="김태웅"/>
      <sheetName val="신정헌"/>
      <sheetName val="김성현"/>
      <sheetName val="wild"/>
      <sheetName val="dfg"/>
      <sheetName val="연락처"/>
      <sheetName val="안양역사복스케쥴 (2)"/>
      <sheetName val="안양역사복스케쥴 (3)"/>
    </sheetNames>
    <sheetDataSet>
      <sheetData sheetId="0">
        <row r="1">
          <cell r="B1" t="str">
            <v xml:space="preserve">안양역 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81"/>
  <sheetViews>
    <sheetView tabSelected="1" zoomScaleNormal="100" workbookViewId="0">
      <selection activeCell="AG27" sqref="AG27"/>
    </sheetView>
  </sheetViews>
  <sheetFormatPr defaultRowHeight="16.5" customHeight="1"/>
  <cols>
    <col min="1" max="1" width="3.25" customWidth="1"/>
    <col min="2" max="2" width="6.875" customWidth="1"/>
    <col min="3" max="34" width="3.125" customWidth="1"/>
    <col min="35" max="35" width="7.125" customWidth="1"/>
    <col min="36" max="36" width="4" customWidth="1"/>
    <col min="37" max="39" width="3.375" customWidth="1"/>
    <col min="40" max="40" width="21.25" customWidth="1"/>
    <col min="41" max="41" width="3.375" customWidth="1"/>
    <col min="42" max="42" width="2.625" customWidth="1"/>
    <col min="43" max="43" width="3.375" customWidth="1"/>
  </cols>
  <sheetData>
    <row r="1" spans="1:48">
      <c r="A1" s="82" t="str">
        <f>""&amp;default!A1&amp;"월 사회복무요원 근무계획"</f>
        <v>월 사회복무요원 근무계획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1"/>
      <c r="AI1" s="2"/>
      <c r="AJ1" s="1"/>
      <c r="AK1" s="1"/>
      <c r="AL1" s="1"/>
      <c r="AM1" s="1"/>
    </row>
    <row r="2" spans="1:48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1"/>
      <c r="AI2" s="2"/>
      <c r="AJ2" s="1"/>
      <c r="AK2" s="1"/>
      <c r="AL2" s="1"/>
      <c r="AM2" s="1"/>
    </row>
    <row r="3" spans="1:48" ht="8.1" customHeight="1">
      <c r="A3" s="83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3"/>
      <c r="AI3" s="4"/>
      <c r="AJ3" s="5"/>
      <c r="AK3" s="5"/>
      <c r="AL3" s="5"/>
      <c r="AM3" s="5"/>
    </row>
    <row r="4" spans="1:48">
      <c r="A4" s="84" t="s">
        <v>0</v>
      </c>
      <c r="B4" s="84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8"/>
      <c r="AI4" s="9"/>
      <c r="AJ4" s="10"/>
      <c r="AK4" s="85" t="s">
        <v>2</v>
      </c>
      <c r="AL4" s="85" t="s">
        <v>3</v>
      </c>
      <c r="AM4" s="5"/>
      <c r="AN4" s="89" t="s">
        <v>4</v>
      </c>
    </row>
    <row r="5" spans="1:48">
      <c r="A5" s="84"/>
      <c r="B5" s="84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8"/>
      <c r="AI5" s="9"/>
      <c r="AJ5" s="10"/>
      <c r="AK5" s="85"/>
      <c r="AL5" s="85"/>
      <c r="AM5" s="5"/>
      <c r="AN5" s="90"/>
    </row>
    <row r="6" spans="1:48">
      <c r="A6" s="6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4"/>
      <c r="AI6" s="6">
        <f t="shared" ref="AI6:AI10" si="0">COUNTIF(C6:AH6,"휴")</f>
        <v>0</v>
      </c>
      <c r="AJ6" s="10"/>
      <c r="AK6" s="11">
        <f>COUNTIF(C6:AG6, "주")</f>
        <v>0</v>
      </c>
      <c r="AL6" s="11">
        <f>COUNTIF(C6:AG6, "야")</f>
        <v>0</v>
      </c>
      <c r="AM6" s="15"/>
      <c r="AN6" s="16"/>
      <c r="AO6" s="17"/>
      <c r="AP6" s="17"/>
      <c r="AQ6" s="17"/>
      <c r="AR6" s="18"/>
      <c r="AS6" s="18"/>
      <c r="AT6" s="19"/>
      <c r="AU6" s="18"/>
      <c r="AV6" s="18"/>
    </row>
    <row r="7" spans="1:48">
      <c r="A7" s="6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4"/>
      <c r="AI7" s="6">
        <f>COUNTIF(C7:AH7,"휴")</f>
        <v>0</v>
      </c>
      <c r="AJ7" s="10"/>
      <c r="AK7" s="11">
        <f>COUNTIF(C7:AG7, "주")</f>
        <v>0</v>
      </c>
      <c r="AL7" s="11">
        <f>COUNTIF(C7:AG7, "야")</f>
        <v>0</v>
      </c>
      <c r="AN7" s="16"/>
      <c r="AO7" s="17"/>
      <c r="AP7" s="17"/>
      <c r="AQ7" s="17"/>
      <c r="AR7" s="19"/>
      <c r="AS7" s="18"/>
      <c r="AT7" s="19"/>
      <c r="AU7" s="18"/>
      <c r="AV7" s="18"/>
    </row>
    <row r="8" spans="1:48">
      <c r="A8" s="6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4"/>
      <c r="AI8" s="6">
        <f>COUNTIF(B8:AH8,"휴")</f>
        <v>0</v>
      </c>
      <c r="AJ8" s="10"/>
      <c r="AK8" s="11">
        <f>COUNTIF(B8:AG8, "주")</f>
        <v>0</v>
      </c>
      <c r="AL8" s="11">
        <f>COUNTIF(B8:AG8, "야")</f>
        <v>0</v>
      </c>
      <c r="AM8" s="15"/>
      <c r="AN8" s="16"/>
      <c r="AO8" s="17"/>
      <c r="AP8" s="17"/>
      <c r="AQ8" s="17"/>
      <c r="AR8" s="19"/>
      <c r="AS8" s="18"/>
      <c r="AT8" s="19"/>
      <c r="AU8" s="18"/>
      <c r="AV8" s="18"/>
    </row>
    <row r="9" spans="1:48">
      <c r="A9" s="6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4"/>
      <c r="AI9" s="6">
        <f t="shared" si="0"/>
        <v>0</v>
      </c>
      <c r="AJ9" s="10"/>
      <c r="AK9" s="11">
        <f t="shared" ref="AK9:AK10" si="1">COUNTIF(C9:AG9, "주")</f>
        <v>0</v>
      </c>
      <c r="AL9" s="11">
        <f t="shared" ref="AL9:AL10" si="2">COUNTIF(C9:AG9, "야")</f>
        <v>0</v>
      </c>
      <c r="AN9" s="16"/>
      <c r="AO9" s="17"/>
      <c r="AP9" s="17"/>
      <c r="AQ9" s="17"/>
      <c r="AR9" s="19"/>
      <c r="AS9" s="18"/>
      <c r="AT9" s="19"/>
      <c r="AU9" s="18"/>
      <c r="AV9" s="18"/>
    </row>
    <row r="10" spans="1:48">
      <c r="A10" s="6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4"/>
      <c r="AI10" s="6">
        <f t="shared" si="0"/>
        <v>0</v>
      </c>
      <c r="AJ10" s="10"/>
      <c r="AK10" s="11">
        <f t="shared" si="1"/>
        <v>0</v>
      </c>
      <c r="AL10" s="11">
        <f t="shared" si="2"/>
        <v>0</v>
      </c>
      <c r="AM10" s="15"/>
      <c r="AN10" s="16"/>
      <c r="AO10" s="17"/>
      <c r="AP10" s="17"/>
      <c r="AQ10" s="17"/>
      <c r="AR10" s="19"/>
      <c r="AS10" s="18"/>
      <c r="AT10" s="18"/>
      <c r="AU10" s="18"/>
      <c r="AV10" s="18"/>
    </row>
    <row r="11" spans="1:48">
      <c r="A11" s="6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20"/>
      <c r="AI11" s="6">
        <f>COUNTIF(C11:AH11,"휴")</f>
        <v>0</v>
      </c>
      <c r="AJ11" s="10"/>
      <c r="AK11" s="11">
        <f t="shared" ref="AK11:AK21" si="3">COUNTIF(C11:AG11, "주")</f>
        <v>0</v>
      </c>
      <c r="AL11" s="11">
        <f t="shared" ref="AL11:AL21" si="4">COUNTIF(C11:AG11, "야")</f>
        <v>0</v>
      </c>
      <c r="AN11" s="16"/>
      <c r="AO11" s="17"/>
      <c r="AP11" s="17"/>
      <c r="AQ11" s="17"/>
      <c r="AR11" s="19"/>
      <c r="AS11" s="18"/>
      <c r="AT11" s="19"/>
      <c r="AU11" s="18"/>
      <c r="AV11" s="18"/>
    </row>
    <row r="12" spans="1:48">
      <c r="A12" s="6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/>
      <c r="AI12" s="6">
        <f t="shared" ref="AI12" si="5">COUNTIF(B12:AH12,"휴")</f>
        <v>0</v>
      </c>
      <c r="AJ12" s="10"/>
      <c r="AK12" s="11">
        <f t="shared" si="3"/>
        <v>0</v>
      </c>
      <c r="AL12" s="11">
        <f t="shared" si="4"/>
        <v>0</v>
      </c>
      <c r="AN12" s="16"/>
      <c r="AO12" s="17"/>
      <c r="AP12" s="17"/>
      <c r="AQ12" s="17"/>
      <c r="AR12" s="19"/>
      <c r="AS12" s="18"/>
      <c r="AT12" s="19"/>
      <c r="AU12" s="18"/>
      <c r="AV12" s="18"/>
    </row>
    <row r="13" spans="1:48">
      <c r="A13" s="6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4"/>
      <c r="AI13" s="6">
        <f t="shared" ref="AI13" si="6">COUNTIF(B13:AH13,"휴")</f>
        <v>0</v>
      </c>
      <c r="AJ13" s="10"/>
      <c r="AK13" s="11">
        <f t="shared" si="3"/>
        <v>0</v>
      </c>
      <c r="AL13" s="11">
        <f t="shared" si="4"/>
        <v>0</v>
      </c>
      <c r="AN13" s="16"/>
      <c r="AO13" s="17"/>
      <c r="AP13" s="17"/>
      <c r="AQ13" s="17"/>
      <c r="AR13" s="19"/>
      <c r="AS13" s="18"/>
      <c r="AT13" s="19"/>
      <c r="AU13" s="18"/>
      <c r="AV13" s="18"/>
    </row>
    <row r="14" spans="1:48">
      <c r="A14" s="6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4"/>
      <c r="AI14" s="6">
        <f t="shared" ref="AI14" si="7">COUNTIF(B14:AH14,"휴")</f>
        <v>0</v>
      </c>
      <c r="AJ14" s="10"/>
      <c r="AK14" s="11">
        <f t="shared" si="3"/>
        <v>0</v>
      </c>
      <c r="AL14" s="11">
        <f t="shared" si="4"/>
        <v>0</v>
      </c>
      <c r="AN14" s="16"/>
      <c r="AO14" s="17"/>
      <c r="AP14" s="17"/>
      <c r="AQ14" s="17"/>
      <c r="AR14" s="19"/>
      <c r="AS14" s="18"/>
      <c r="AT14" s="19"/>
      <c r="AU14" s="18"/>
      <c r="AV14" s="18"/>
    </row>
    <row r="15" spans="1:48">
      <c r="A15" s="6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4"/>
      <c r="AI15" s="6">
        <f>COUNTIF(C15:AH15,"휴")</f>
        <v>0</v>
      </c>
      <c r="AJ15" s="10"/>
      <c r="AK15" s="11">
        <f t="shared" si="3"/>
        <v>0</v>
      </c>
      <c r="AL15" s="11">
        <f t="shared" si="4"/>
        <v>0</v>
      </c>
      <c r="AM15" s="15"/>
      <c r="AN15" s="16"/>
      <c r="AO15" s="17"/>
      <c r="AP15" s="17"/>
      <c r="AQ15" s="17"/>
      <c r="AR15" s="18"/>
      <c r="AS15" s="18"/>
      <c r="AT15" s="19"/>
      <c r="AU15" s="18"/>
      <c r="AV15" s="18"/>
    </row>
    <row r="16" spans="1:48">
      <c r="A16" s="6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4"/>
      <c r="AI16" s="6">
        <f>COUNTIF(C16:AH16,"휴")</f>
        <v>0</v>
      </c>
      <c r="AJ16" s="10"/>
      <c r="AK16" s="11">
        <f t="shared" si="3"/>
        <v>0</v>
      </c>
      <c r="AL16" s="11">
        <f t="shared" si="4"/>
        <v>0</v>
      </c>
      <c r="AM16" s="15"/>
      <c r="AN16" s="16"/>
      <c r="AO16" s="17"/>
      <c r="AP16" s="17"/>
      <c r="AQ16" s="17"/>
      <c r="AR16" s="18"/>
      <c r="AS16" s="18"/>
      <c r="AT16" s="19"/>
      <c r="AU16" s="18"/>
      <c r="AV16" s="18"/>
    </row>
    <row r="17" spans="1:48">
      <c r="A17" s="6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4"/>
      <c r="AI17" s="6">
        <f>COUNTIF(C17:AH17,"휴")</f>
        <v>0</v>
      </c>
      <c r="AJ17" s="10"/>
      <c r="AK17" s="11">
        <f t="shared" si="3"/>
        <v>0</v>
      </c>
      <c r="AL17" s="11">
        <f t="shared" si="4"/>
        <v>0</v>
      </c>
      <c r="AM17" s="15"/>
      <c r="AN17" s="16"/>
      <c r="AO17" s="17"/>
      <c r="AP17" s="17"/>
      <c r="AQ17" s="17"/>
      <c r="AR17" s="18"/>
      <c r="AS17" s="18"/>
      <c r="AT17" s="19"/>
      <c r="AU17" s="18"/>
      <c r="AV17" s="18"/>
    </row>
    <row r="18" spans="1:48">
      <c r="A18" s="6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4"/>
      <c r="AI18" s="6">
        <f t="shared" ref="AI18:AI20" si="8">COUNTIF(B18:AH18,"휴")</f>
        <v>0</v>
      </c>
      <c r="AJ18" s="10"/>
      <c r="AK18" s="11">
        <f t="shared" si="3"/>
        <v>0</v>
      </c>
      <c r="AL18" s="11">
        <f t="shared" si="4"/>
        <v>0</v>
      </c>
      <c r="AN18" s="16"/>
      <c r="AO18" s="17"/>
      <c r="AP18" s="17"/>
      <c r="AQ18" s="17"/>
      <c r="AR18" s="19"/>
      <c r="AS18" s="18"/>
      <c r="AT18" s="19"/>
      <c r="AU18" s="18"/>
      <c r="AV18" s="18"/>
    </row>
    <row r="19" spans="1:48">
      <c r="A19" s="6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4"/>
      <c r="AI19" s="6">
        <f t="shared" si="8"/>
        <v>0</v>
      </c>
      <c r="AJ19" s="10"/>
      <c r="AK19" s="11">
        <f t="shared" si="3"/>
        <v>0</v>
      </c>
      <c r="AL19" s="11">
        <f t="shared" si="4"/>
        <v>0</v>
      </c>
      <c r="AN19" s="16"/>
      <c r="AO19" s="17"/>
      <c r="AP19" s="17"/>
      <c r="AQ19" s="17"/>
      <c r="AR19" s="19"/>
      <c r="AS19" s="18"/>
      <c r="AT19" s="19"/>
      <c r="AU19" s="18"/>
      <c r="AV19" s="18"/>
    </row>
    <row r="20" spans="1:48">
      <c r="A20" s="6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4"/>
      <c r="AI20" s="6">
        <f t="shared" si="8"/>
        <v>0</v>
      </c>
      <c r="AJ20" s="10"/>
      <c r="AK20" s="11">
        <f t="shared" si="3"/>
        <v>0</v>
      </c>
      <c r="AL20" s="11">
        <f t="shared" si="4"/>
        <v>0</v>
      </c>
      <c r="AN20" s="16"/>
      <c r="AO20" s="17"/>
      <c r="AP20" s="17"/>
      <c r="AQ20" s="17"/>
      <c r="AR20" s="19"/>
      <c r="AS20" s="18"/>
      <c r="AT20" s="19"/>
      <c r="AU20" s="18"/>
      <c r="AV20" s="18"/>
    </row>
    <row r="21" spans="1:48">
      <c r="A21" s="6"/>
      <c r="B21" s="12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4"/>
      <c r="AI21" s="6">
        <f t="shared" ref="AI21" si="9">COUNTIF(B21:AH21,"휴")</f>
        <v>0</v>
      </c>
      <c r="AJ21" s="10"/>
      <c r="AK21" s="11">
        <f t="shared" si="3"/>
        <v>0</v>
      </c>
      <c r="AL21" s="11">
        <f t="shared" si="4"/>
        <v>0</v>
      </c>
      <c r="AN21" s="16"/>
      <c r="AO21" s="17"/>
      <c r="AP21" s="17"/>
      <c r="AQ21" s="17"/>
      <c r="AR21" s="19"/>
      <c r="AS21" s="18"/>
      <c r="AT21" s="19"/>
      <c r="AU21" s="18"/>
      <c r="AV21" s="18"/>
    </row>
    <row r="22" spans="1:48">
      <c r="A22" s="21"/>
      <c r="B22" s="6" t="s">
        <v>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I22" s="6"/>
      <c r="AJ22" s="10"/>
      <c r="AK22" s="2"/>
      <c r="AL22" s="2"/>
      <c r="AN22" s="16"/>
      <c r="AO22" s="19"/>
      <c r="AP22" s="19"/>
      <c r="AQ22" s="19"/>
      <c r="AR22" s="19"/>
      <c r="AS22" s="18"/>
      <c r="AT22" s="18"/>
      <c r="AU22" s="18"/>
      <c r="AV22" s="18"/>
    </row>
    <row r="23" spans="1:48">
      <c r="A23" s="22"/>
      <c r="B23" s="6" t="s">
        <v>6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I23" s="12"/>
      <c r="AJ23" s="10"/>
      <c r="AK23" s="2"/>
      <c r="AL23" s="2"/>
      <c r="AN23" s="16"/>
      <c r="AO23" s="19"/>
      <c r="AP23" s="19"/>
      <c r="AQ23" s="19"/>
      <c r="AR23" s="19"/>
      <c r="AS23" s="18"/>
      <c r="AT23" s="18"/>
      <c r="AU23" s="18"/>
      <c r="AV23" s="18"/>
    </row>
    <row r="24" spans="1:48">
      <c r="A24" s="22"/>
      <c r="B24" s="6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I24" s="23"/>
      <c r="AJ24" s="24"/>
      <c r="AK24" s="2"/>
      <c r="AL24" s="2"/>
      <c r="AN24" s="25"/>
      <c r="AO24" s="19"/>
      <c r="AP24" s="19"/>
      <c r="AQ24" s="19"/>
      <c r="AR24" s="19"/>
      <c r="AS24" s="18"/>
      <c r="AT24" s="18"/>
      <c r="AU24" s="18"/>
      <c r="AV24" s="18"/>
    </row>
    <row r="25" spans="1:48">
      <c r="A25" s="22"/>
      <c r="B25" s="6" t="s">
        <v>8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I25" s="26" t="s">
        <v>9</v>
      </c>
      <c r="AJ25" s="27"/>
      <c r="AK25" s="11"/>
      <c r="AL25" s="11"/>
      <c r="AN25" s="28"/>
      <c r="AO25" s="18"/>
      <c r="AP25" s="18"/>
      <c r="AQ25" s="18"/>
      <c r="AR25" s="18"/>
      <c r="AS25" s="18"/>
      <c r="AT25" s="18"/>
      <c r="AU25" s="18"/>
      <c r="AV25" s="18"/>
    </row>
    <row r="26" spans="1:48">
      <c r="A26" s="22"/>
      <c r="B26" s="12" t="s">
        <v>10</v>
      </c>
      <c r="C26" s="29">
        <f t="shared" ref="C26:AF26" si="10">COUNTIF(C6:C21,"주")</f>
        <v>0</v>
      </c>
      <c r="D26" s="29">
        <f t="shared" si="10"/>
        <v>0</v>
      </c>
      <c r="E26" s="29">
        <f t="shared" si="10"/>
        <v>0</v>
      </c>
      <c r="F26" s="29">
        <f t="shared" si="10"/>
        <v>0</v>
      </c>
      <c r="G26" s="29">
        <f t="shared" si="10"/>
        <v>0</v>
      </c>
      <c r="H26" s="29">
        <f t="shared" si="10"/>
        <v>0</v>
      </c>
      <c r="I26" s="29">
        <f t="shared" si="10"/>
        <v>0</v>
      </c>
      <c r="J26" s="29">
        <f t="shared" si="10"/>
        <v>0</v>
      </c>
      <c r="K26" s="29">
        <f t="shared" si="10"/>
        <v>0</v>
      </c>
      <c r="L26" s="29">
        <f t="shared" si="10"/>
        <v>0</v>
      </c>
      <c r="M26" s="29">
        <f t="shared" si="10"/>
        <v>0</v>
      </c>
      <c r="N26" s="29">
        <f t="shared" si="10"/>
        <v>0</v>
      </c>
      <c r="O26" s="29">
        <f t="shared" si="10"/>
        <v>0</v>
      </c>
      <c r="P26" s="29">
        <f t="shared" si="10"/>
        <v>0</v>
      </c>
      <c r="Q26" s="29">
        <f t="shared" si="10"/>
        <v>0</v>
      </c>
      <c r="R26" s="29">
        <f t="shared" si="10"/>
        <v>0</v>
      </c>
      <c r="S26" s="29">
        <f t="shared" si="10"/>
        <v>0</v>
      </c>
      <c r="T26" s="29">
        <f t="shared" si="10"/>
        <v>0</v>
      </c>
      <c r="U26" s="29">
        <f t="shared" si="10"/>
        <v>0</v>
      </c>
      <c r="V26" s="29">
        <f t="shared" si="10"/>
        <v>0</v>
      </c>
      <c r="W26" s="29">
        <f t="shared" si="10"/>
        <v>0</v>
      </c>
      <c r="X26" s="29">
        <f t="shared" si="10"/>
        <v>0</v>
      </c>
      <c r="Y26" s="29">
        <f t="shared" si="10"/>
        <v>0</v>
      </c>
      <c r="Z26" s="29">
        <f t="shared" si="10"/>
        <v>0</v>
      </c>
      <c r="AA26" s="29">
        <f t="shared" si="10"/>
        <v>0</v>
      </c>
      <c r="AB26" s="29">
        <f t="shared" si="10"/>
        <v>0</v>
      </c>
      <c r="AC26" s="29">
        <f t="shared" si="10"/>
        <v>0</v>
      </c>
      <c r="AD26" s="29">
        <f t="shared" si="10"/>
        <v>0</v>
      </c>
      <c r="AE26" s="29">
        <f t="shared" si="10"/>
        <v>0</v>
      </c>
      <c r="AF26" s="29">
        <f t="shared" si="10"/>
        <v>0</v>
      </c>
      <c r="AG26" s="29">
        <f>COUNTIF(AG6:AG11,"주")</f>
        <v>0</v>
      </c>
      <c r="AH26" s="29"/>
      <c r="AI26" s="30">
        <f>COUNTIF(C26:AG26,"1")</f>
        <v>0</v>
      </c>
      <c r="AJ26" s="2"/>
      <c r="AK26" s="11"/>
      <c r="AL26" s="22"/>
      <c r="AN26" s="31"/>
      <c r="AO26" s="18"/>
      <c r="AP26" s="18"/>
      <c r="AQ26" s="18"/>
      <c r="AR26" s="18"/>
      <c r="AS26" s="18"/>
      <c r="AT26" s="18"/>
      <c r="AU26" s="18"/>
      <c r="AV26" s="18"/>
    </row>
    <row r="27" spans="1:48">
      <c r="A27" s="22"/>
      <c r="B27" s="12" t="s">
        <v>11</v>
      </c>
      <c r="C27" s="12">
        <f t="shared" ref="C27:AG27" si="11">COUNTIF(C6:C21,"야")</f>
        <v>0</v>
      </c>
      <c r="D27" s="12">
        <f t="shared" si="11"/>
        <v>0</v>
      </c>
      <c r="E27" s="12">
        <f t="shared" si="11"/>
        <v>0</v>
      </c>
      <c r="F27" s="12">
        <f t="shared" si="11"/>
        <v>0</v>
      </c>
      <c r="G27" s="12">
        <f t="shared" si="11"/>
        <v>0</v>
      </c>
      <c r="H27" s="12">
        <f t="shared" si="11"/>
        <v>0</v>
      </c>
      <c r="I27" s="12">
        <f t="shared" si="11"/>
        <v>0</v>
      </c>
      <c r="J27" s="12">
        <f t="shared" si="11"/>
        <v>0</v>
      </c>
      <c r="K27" s="12">
        <f t="shared" si="11"/>
        <v>0</v>
      </c>
      <c r="L27" s="12">
        <f t="shared" si="11"/>
        <v>0</v>
      </c>
      <c r="M27" s="12">
        <f t="shared" si="11"/>
        <v>0</v>
      </c>
      <c r="N27" s="12">
        <f t="shared" si="11"/>
        <v>0</v>
      </c>
      <c r="O27" s="12">
        <f t="shared" si="11"/>
        <v>0</v>
      </c>
      <c r="P27" s="12">
        <f t="shared" si="11"/>
        <v>0</v>
      </c>
      <c r="Q27" s="12">
        <f t="shared" si="11"/>
        <v>0</v>
      </c>
      <c r="R27" s="12">
        <f t="shared" si="11"/>
        <v>0</v>
      </c>
      <c r="S27" s="12">
        <f t="shared" si="11"/>
        <v>0</v>
      </c>
      <c r="T27" s="12">
        <f t="shared" si="11"/>
        <v>0</v>
      </c>
      <c r="U27" s="12">
        <f t="shared" si="11"/>
        <v>0</v>
      </c>
      <c r="V27" s="12">
        <f t="shared" si="11"/>
        <v>0</v>
      </c>
      <c r="W27" s="12">
        <f t="shared" si="11"/>
        <v>0</v>
      </c>
      <c r="X27" s="12">
        <f t="shared" si="11"/>
        <v>0</v>
      </c>
      <c r="Y27" s="12">
        <f t="shared" si="11"/>
        <v>0</v>
      </c>
      <c r="Z27" s="12">
        <f t="shared" si="11"/>
        <v>0</v>
      </c>
      <c r="AA27" s="12">
        <f t="shared" si="11"/>
        <v>0</v>
      </c>
      <c r="AB27" s="12">
        <f t="shared" si="11"/>
        <v>0</v>
      </c>
      <c r="AC27" s="12">
        <f t="shared" si="11"/>
        <v>0</v>
      </c>
      <c r="AD27" s="12">
        <f t="shared" si="11"/>
        <v>0</v>
      </c>
      <c r="AE27" s="12">
        <f t="shared" si="11"/>
        <v>0</v>
      </c>
      <c r="AF27" s="12">
        <f t="shared" si="11"/>
        <v>0</v>
      </c>
      <c r="AG27" s="12">
        <f t="shared" si="11"/>
        <v>0</v>
      </c>
      <c r="AH27" s="12"/>
      <c r="AI27" s="30">
        <f>COUNTIF(C27:AG27,"1")</f>
        <v>0</v>
      </c>
      <c r="AJ27" s="2"/>
      <c r="AK27" s="11"/>
      <c r="AL27" s="22"/>
      <c r="AN27" s="1"/>
      <c r="AO27" s="18"/>
      <c r="AP27" s="18"/>
      <c r="AQ27" s="18"/>
      <c r="AR27" s="18"/>
      <c r="AS27" s="18"/>
      <c r="AT27" s="18"/>
      <c r="AU27" s="18"/>
      <c r="AV27" s="18"/>
    </row>
    <row r="28" spans="1:48">
      <c r="A28" s="22"/>
      <c r="B28" s="32"/>
      <c r="C28" s="33"/>
      <c r="D28" s="33"/>
      <c r="E28" s="33"/>
      <c r="F28" s="33"/>
      <c r="G28" s="33"/>
      <c r="H28" s="33"/>
      <c r="I28" s="33"/>
      <c r="J28" s="34"/>
      <c r="K28" s="34"/>
      <c r="L28" s="34"/>
      <c r="M28" s="34"/>
      <c r="N28" s="35"/>
      <c r="O28" s="34"/>
      <c r="P28" s="34"/>
      <c r="Q28" s="34"/>
      <c r="R28" s="34"/>
      <c r="S28" s="34"/>
      <c r="T28" s="34"/>
      <c r="U28" s="35"/>
      <c r="V28" s="34"/>
      <c r="W28" s="34"/>
      <c r="X28" s="34"/>
      <c r="Y28" s="34"/>
      <c r="Z28" s="34"/>
      <c r="AA28" s="34"/>
      <c r="AB28" s="34"/>
      <c r="AC28" s="34"/>
      <c r="AD28" s="35"/>
      <c r="AE28" s="35"/>
      <c r="AF28" s="35"/>
      <c r="AG28" s="34"/>
      <c r="AH28" s="34"/>
      <c r="AI28" s="35"/>
      <c r="AJ28" s="5"/>
      <c r="AK28" s="23"/>
      <c r="AL28" s="23"/>
      <c r="AO28" s="18"/>
      <c r="AP28" s="18"/>
      <c r="AQ28" s="18"/>
      <c r="AR28" s="18" t="s">
        <v>12</v>
      </c>
      <c r="AS28" s="18"/>
      <c r="AT28" s="18"/>
      <c r="AU28" s="18"/>
      <c r="AV28" s="18"/>
    </row>
    <row r="29" spans="1:48">
      <c r="A29" s="36"/>
      <c r="B29" s="91" t="s">
        <v>13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3"/>
      <c r="N29" s="94"/>
      <c r="O29" s="95"/>
      <c r="P29" s="95"/>
      <c r="Q29" s="95"/>
      <c r="R29" s="95"/>
      <c r="S29" s="95"/>
      <c r="T29" s="95"/>
      <c r="U29" s="96"/>
      <c r="V29" s="1"/>
      <c r="W29" s="1"/>
      <c r="X29" s="1"/>
      <c r="Y29" s="1"/>
      <c r="Z29" s="1"/>
      <c r="AA29" s="1"/>
      <c r="AB29" s="1"/>
      <c r="AC29" s="1" t="s">
        <v>2</v>
      </c>
      <c r="AD29" s="1" t="s">
        <v>3</v>
      </c>
      <c r="AE29" s="1"/>
      <c r="AF29" s="1"/>
      <c r="AG29" s="1"/>
      <c r="AH29" s="1"/>
      <c r="AI29" s="37"/>
      <c r="AJ29" s="38"/>
      <c r="AK29" s="39"/>
      <c r="AL29" s="40"/>
      <c r="AO29" s="18"/>
      <c r="AP29" s="18"/>
      <c r="AQ29" s="18"/>
      <c r="AR29" s="18"/>
      <c r="AS29" s="18"/>
      <c r="AT29" s="18"/>
      <c r="AU29" s="18"/>
      <c r="AV29" s="18"/>
    </row>
    <row r="30" spans="1:48">
      <c r="A30" s="1"/>
      <c r="B30" s="97" t="s">
        <v>14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100"/>
      <c r="O30" s="101"/>
      <c r="P30" s="101"/>
      <c r="Q30" s="101"/>
      <c r="R30" s="101"/>
      <c r="S30" s="101"/>
      <c r="T30" s="101"/>
      <c r="U30" s="102"/>
      <c r="V30" s="1"/>
      <c r="W30" s="1"/>
      <c r="X30" s="1"/>
      <c r="AB30" s="41" t="s">
        <v>5</v>
      </c>
      <c r="AC30" s="1">
        <f>dayGroupCount!A1</f>
        <v>0</v>
      </c>
      <c r="AD30" s="1">
        <f>nightGroupCount!A1</f>
        <v>0</v>
      </c>
      <c r="AE30" s="1"/>
      <c r="AF30" s="1"/>
      <c r="AI30" s="2"/>
      <c r="AJ30" s="42"/>
      <c r="AK30" s="42"/>
      <c r="AL30" s="43"/>
      <c r="AO30" s="18"/>
      <c r="AP30" s="18"/>
      <c r="AQ30" s="18"/>
      <c r="AR30" s="18"/>
      <c r="AS30" s="18"/>
      <c r="AT30" s="18"/>
      <c r="AU30" s="18"/>
      <c r="AV30" s="18"/>
    </row>
    <row r="31" spans="1:48">
      <c r="A31" s="1"/>
      <c r="B31" s="97" t="s">
        <v>15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100"/>
      <c r="O31" s="101"/>
      <c r="P31" s="101"/>
      <c r="Q31" s="101"/>
      <c r="R31" s="101"/>
      <c r="S31" s="101"/>
      <c r="T31" s="101"/>
      <c r="U31" s="102"/>
      <c r="V31" s="1"/>
      <c r="W31" s="1"/>
      <c r="X31" s="1"/>
      <c r="Y31" s="1"/>
      <c r="Z31" s="1"/>
      <c r="AA31" s="1"/>
      <c r="AB31" s="41" t="s">
        <v>6</v>
      </c>
      <c r="AC31" s="1">
        <f>dayGroupCount!B1</f>
        <v>0</v>
      </c>
      <c r="AD31" s="1">
        <f>nightGroupCount!B1</f>
        <v>0</v>
      </c>
      <c r="AE31" s="1"/>
      <c r="AF31" s="1"/>
      <c r="AG31" s="1"/>
      <c r="AH31" s="1"/>
      <c r="AJ31" s="42"/>
      <c r="AK31" s="42"/>
      <c r="AL31" s="42"/>
      <c r="AO31" s="18"/>
      <c r="AP31" s="18"/>
      <c r="AQ31" s="18"/>
      <c r="AR31" s="18"/>
      <c r="AS31" s="18"/>
      <c r="AT31" s="18"/>
      <c r="AU31" s="18"/>
      <c r="AV31" s="18"/>
    </row>
    <row r="32" spans="1:48">
      <c r="A32" s="1"/>
      <c r="B32" s="106" t="s">
        <v>16</v>
      </c>
      <c r="C32" s="107"/>
      <c r="D32" s="107"/>
      <c r="E32" s="107"/>
      <c r="F32" s="107"/>
      <c r="G32" s="107"/>
      <c r="H32" s="107"/>
      <c r="I32" s="107"/>
      <c r="J32" s="107"/>
      <c r="K32" s="107"/>
      <c r="L32" s="107"/>
      <c r="M32" s="108"/>
      <c r="N32" s="103"/>
      <c r="O32" s="104"/>
      <c r="P32" s="104"/>
      <c r="Q32" s="104"/>
      <c r="R32" s="104"/>
      <c r="S32" s="104"/>
      <c r="T32" s="104"/>
      <c r="U32" s="105"/>
      <c r="V32" s="1"/>
      <c r="W32" s="1"/>
      <c r="X32" s="1"/>
      <c r="Y32" s="1"/>
      <c r="Z32" s="1"/>
      <c r="AA32" s="1"/>
      <c r="AB32" s="41" t="s">
        <v>7</v>
      </c>
      <c r="AC32" s="1">
        <f>dayGroupCount!C1</f>
        <v>0</v>
      </c>
      <c r="AD32" s="1">
        <f>nightGroupCount!C1</f>
        <v>0</v>
      </c>
      <c r="AE32" s="1"/>
      <c r="AF32" s="1"/>
      <c r="AG32" s="1"/>
      <c r="AH32" s="1"/>
      <c r="AI32" s="2"/>
      <c r="AJ32" s="1"/>
      <c r="AK32" s="1"/>
      <c r="AL32" s="1"/>
      <c r="AM32" s="1"/>
      <c r="AN32" s="44" t="s">
        <v>17</v>
      </c>
    </row>
    <row r="33" spans="1:40" ht="17.100000000000001" customHeight="1">
      <c r="A33" s="1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45"/>
      <c r="O33" s="45"/>
      <c r="P33" s="45"/>
      <c r="Q33" s="45"/>
      <c r="R33" s="45"/>
      <c r="S33" s="45"/>
      <c r="T33" s="45"/>
      <c r="U33" s="45"/>
      <c r="V33" s="1"/>
      <c r="W33" s="1"/>
      <c r="X33" s="1"/>
      <c r="Y33" s="1"/>
      <c r="Z33" s="1"/>
      <c r="AA33" s="1"/>
      <c r="AB33" s="41" t="s">
        <v>8</v>
      </c>
      <c r="AC33" s="1">
        <f>dayGroupCount!D1</f>
        <v>0</v>
      </c>
      <c r="AD33" s="1">
        <f>nightGroupCount!D1</f>
        <v>0</v>
      </c>
      <c r="AF33" s="1"/>
      <c r="AG33" s="1"/>
      <c r="AH33" s="1"/>
      <c r="AI33" s="2"/>
    </row>
    <row r="34" spans="1:40">
      <c r="A34" s="1"/>
      <c r="B34" s="87"/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46"/>
      <c r="O34" s="46"/>
      <c r="P34" s="46"/>
      <c r="Q34" s="46"/>
      <c r="R34" s="46"/>
      <c r="S34" s="46"/>
      <c r="T34" s="46"/>
      <c r="U34" s="46"/>
      <c r="V34" s="1"/>
      <c r="W34" s="1"/>
      <c r="X34" s="1"/>
      <c r="Y34" s="1"/>
      <c r="Z34" s="1"/>
      <c r="AA34" s="1"/>
      <c r="AC34">
        <f>SUM(AC30:AC33)</f>
        <v>0</v>
      </c>
      <c r="AD34">
        <f>SUM(AD30:AD33)</f>
        <v>0</v>
      </c>
      <c r="AF34" s="1"/>
      <c r="AG34" s="1"/>
      <c r="AH34" s="1"/>
      <c r="AI34" s="2" t="s">
        <v>18</v>
      </c>
      <c r="AJ34" s="1"/>
      <c r="AK34" s="1"/>
      <c r="AL34" s="1"/>
      <c r="AM34" s="1"/>
    </row>
    <row r="35" spans="1:40">
      <c r="A35" s="1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46"/>
      <c r="O35" s="46"/>
      <c r="P35" s="46"/>
      <c r="Q35" s="46"/>
      <c r="R35" s="46"/>
      <c r="S35" s="46"/>
      <c r="T35" s="46"/>
      <c r="U35" s="46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"/>
      <c r="AJ35" s="1"/>
      <c r="AK35" s="1"/>
      <c r="AL35" s="1"/>
      <c r="AM35" s="1"/>
    </row>
    <row r="36" spans="1:4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"/>
      <c r="AJ36" s="1"/>
      <c r="AK36" s="1"/>
      <c r="AL36" s="1"/>
      <c r="AM36" s="1"/>
    </row>
    <row r="37" spans="1:40">
      <c r="A37" s="1"/>
      <c r="H37" s="47"/>
      <c r="I37" s="47"/>
      <c r="J37" s="47"/>
      <c r="X37" s="1"/>
      <c r="AB37" s="1"/>
      <c r="AI37" s="2"/>
      <c r="AJ37" s="1"/>
      <c r="AK37" s="1"/>
      <c r="AL37" s="1"/>
      <c r="AM37" s="1"/>
      <c r="AN37" s="48"/>
    </row>
    <row r="38" spans="1:40">
      <c r="AB38" s="1"/>
      <c r="AJ38" s="1"/>
      <c r="AK38" s="1"/>
      <c r="AL38" s="1"/>
      <c r="AM38" s="1"/>
      <c r="AN38" s="49"/>
    </row>
    <row r="39" spans="1:40">
      <c r="AJ39" s="1"/>
      <c r="AK39" s="1"/>
      <c r="AL39" s="1"/>
      <c r="AN39" s="50"/>
    </row>
    <row r="40" spans="1:40">
      <c r="AN40" s="51"/>
    </row>
    <row r="41" spans="1:40">
      <c r="AN41" s="52"/>
    </row>
    <row r="42" spans="1:40">
      <c r="AN42" s="53"/>
    </row>
    <row r="44" spans="1:40">
      <c r="AN44">
        <v>453</v>
      </c>
    </row>
    <row r="81" spans="4:4">
      <c r="D81" t="s">
        <v>19</v>
      </c>
    </row>
  </sheetData>
  <mergeCells count="16">
    <mergeCell ref="B33:M33"/>
    <mergeCell ref="B34:M34"/>
    <mergeCell ref="B35:M35"/>
    <mergeCell ref="AL4:AL5"/>
    <mergeCell ref="AN4:AN5"/>
    <mergeCell ref="B29:M29"/>
    <mergeCell ref="N29:U29"/>
    <mergeCell ref="B30:M30"/>
    <mergeCell ref="N30:U32"/>
    <mergeCell ref="B31:M31"/>
    <mergeCell ref="B32:M32"/>
    <mergeCell ref="A1:AG2"/>
    <mergeCell ref="A3:AG3"/>
    <mergeCell ref="A4:A5"/>
    <mergeCell ref="B4:B5"/>
    <mergeCell ref="AK4:AK5"/>
  </mergeCells>
  <phoneticPr fontId="19" type="noConversion"/>
  <conditionalFormatting sqref="B6">
    <cfRule type="colorScale" priority="14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7">
    <cfRule type="colorScale" priority="1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8">
    <cfRule type="colorScale" priority="14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9">
    <cfRule type="colorScale" priority="105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28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0">
    <cfRule type="colorScale" priority="130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">
    <cfRule type="colorScale" priority="105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41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B14 B18:B21">
    <cfRule type="colorScale" priority="14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:B17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C21">
    <cfRule type="cellIs" dxfId="618" priority="116" operator="equal">
      <formula>"연"</formula>
    </cfRule>
    <cfRule type="cellIs" dxfId="617" priority="117" operator="equal">
      <formula>"연"</formula>
    </cfRule>
  </conditionalFormatting>
  <conditionalFormatting sqref="C9:F9 L9:U9 X9 AA9 AD9 AT11:AT21 AH12:AH21">
    <cfRule type="cellIs" dxfId="616" priority="1232" operator="equal">
      <formula>"연"</formula>
    </cfRule>
  </conditionalFormatting>
  <conditionalFormatting sqref="C11:O11 X11:AH11">
    <cfRule type="cellIs" dxfId="615" priority="1260" operator="equal">
      <formula>"연"</formula>
    </cfRule>
  </conditionalFormatting>
  <conditionalFormatting sqref="C10:P10">
    <cfRule type="cellIs" dxfId="614" priority="1130" operator="equal">
      <formula>"연"</formula>
    </cfRule>
    <cfRule type="cellIs" dxfId="613" priority="1131" operator="equal">
      <formula>"연"</formula>
    </cfRule>
    <cfRule type="cellIs" dxfId="612" priority="1256" operator="equal">
      <formula>"연"</formula>
    </cfRule>
    <cfRule type="cellIs" dxfId="611" priority="1255" operator="equal">
      <formula>"연"</formula>
    </cfRule>
  </conditionalFormatting>
  <conditionalFormatting sqref="C15:AA17">
    <cfRule type="cellIs" dxfId="610" priority="53" operator="equal">
      <formula>"야"</formula>
    </cfRule>
    <cfRule type="cellIs" dxfId="609" priority="54" operator="equal">
      <formula>"휴"</formula>
    </cfRule>
  </conditionalFormatting>
  <conditionalFormatting sqref="C5:AG5">
    <cfRule type="cellIs" dxfId="608" priority="530" operator="equal">
      <formula>"일"</formula>
    </cfRule>
    <cfRule type="cellIs" dxfId="607" priority="1159" operator="equal">
      <formula>"토"</formula>
    </cfRule>
  </conditionalFormatting>
  <conditionalFormatting sqref="C6:AG21">
    <cfRule type="cellIs" dxfId="606" priority="1235" operator="equal">
      <formula>"연"</formula>
    </cfRule>
    <cfRule type="cellIs" dxfId="605" priority="1236" operator="equal">
      <formula>"연"</formula>
    </cfRule>
    <cfRule type="cellIs" dxfId="604" priority="115" operator="equal">
      <formula>"특"</formula>
    </cfRule>
  </conditionalFormatting>
  <conditionalFormatting sqref="C12:AG14">
    <cfRule type="cellIs" dxfId="603" priority="48" operator="equal">
      <formula>"연"</formula>
    </cfRule>
    <cfRule type="cellIs" dxfId="602" priority="47" operator="equal">
      <formula>"연"</formula>
    </cfRule>
  </conditionalFormatting>
  <conditionalFormatting sqref="C6:AH21 AT11:AT21">
    <cfRule type="cellIs" dxfId="601" priority="118" operator="equal">
      <formula>"야"</formula>
    </cfRule>
    <cfRule type="cellIs" dxfId="600" priority="119" operator="equal">
      <formula>"휴"</formula>
    </cfRule>
  </conditionalFormatting>
  <conditionalFormatting sqref="D8:O8">
    <cfRule type="cellIs" dxfId="599" priority="529" operator="equal">
      <formula>"휴"</formula>
    </cfRule>
    <cfRule type="cellIs" dxfId="598" priority="528" operator="equal">
      <formula>"야"</formula>
    </cfRule>
  </conditionalFormatting>
  <conditionalFormatting sqref="D10:P10">
    <cfRule type="cellIs" dxfId="597" priority="1223" operator="equal">
      <formula>"연"</formula>
    </cfRule>
    <cfRule type="cellIs" dxfId="596" priority="1224" operator="equal">
      <formula>"연"</formula>
    </cfRule>
  </conditionalFormatting>
  <conditionalFormatting sqref="D8:AG8">
    <cfRule type="cellIs" dxfId="595" priority="1053" operator="equal">
      <formula>"연"</formula>
    </cfRule>
    <cfRule type="cellIs" dxfId="594" priority="1052" operator="equal">
      <formula>"연"</formula>
    </cfRule>
  </conditionalFormatting>
  <conditionalFormatting sqref="D9:AG9">
    <cfRule type="cellIs" dxfId="593" priority="718" operator="equal">
      <formula>"휴"</formula>
    </cfRule>
    <cfRule type="cellIs" dxfId="592" priority="717" operator="equal">
      <formula>"야"</formula>
    </cfRule>
  </conditionalFormatting>
  <conditionalFormatting sqref="D18:AG20">
    <cfRule type="cellIs" dxfId="591" priority="12" operator="equal">
      <formula>"연"</formula>
    </cfRule>
    <cfRule type="cellIs" dxfId="590" priority="11" operator="equal">
      <formula>"연"</formula>
    </cfRule>
  </conditionalFormatting>
  <conditionalFormatting sqref="D21:AG21">
    <cfRule type="cellIs" dxfId="589" priority="162" operator="equal">
      <formula>"연"</formula>
    </cfRule>
    <cfRule type="cellIs" dxfId="588" priority="163" operator="equal">
      <formula>"연"</formula>
    </cfRule>
  </conditionalFormatting>
  <conditionalFormatting sqref="F11">
    <cfRule type="cellIs" dxfId="587" priority="248" operator="equal">
      <formula>"연"</formula>
    </cfRule>
    <cfRule type="cellIs" dxfId="586" priority="247" operator="equal">
      <formula>"연"</formula>
    </cfRule>
  </conditionalFormatting>
  <conditionalFormatting sqref="F15:AG17">
    <cfRule type="cellIs" dxfId="585" priority="52" operator="equal">
      <formula>"연"</formula>
    </cfRule>
    <cfRule type="cellIs" dxfId="584" priority="51" operator="equal">
      <formula>"연"</formula>
    </cfRule>
  </conditionalFormatting>
  <conditionalFormatting sqref="G9:K9 V9:AH9">
    <cfRule type="cellIs" dxfId="583" priority="1240" operator="equal">
      <formula>"연"</formula>
    </cfRule>
  </conditionalFormatting>
  <conditionalFormatting sqref="G9:N9 V9:AG9">
    <cfRule type="cellIs" dxfId="582" priority="1239" operator="equal">
      <formula>"연"</formula>
    </cfRule>
  </conditionalFormatting>
  <conditionalFormatting sqref="G10:O10 AD10:AG10">
    <cfRule type="cellIs" dxfId="581" priority="1252" operator="equal">
      <formula>"연"</formula>
    </cfRule>
    <cfRule type="cellIs" dxfId="580" priority="1251" operator="equal">
      <formula>"연"</formula>
    </cfRule>
  </conditionalFormatting>
  <conditionalFormatting sqref="G11:W11 R7:AG7 S8:AF8">
    <cfRule type="cellIs" dxfId="579" priority="1316" operator="equal">
      <formula>"연"</formula>
    </cfRule>
  </conditionalFormatting>
  <conditionalFormatting sqref="H11:H14 K11:K14 N11:N14 AF11:AF14 E12:E14 T12:T14 W12:W14 Z12:Z14 AC12:AC14 E18:E21 H18:H21 K18:K21 N18:N21 T18:T21 W18:W21 Z18:Z21 AC18:AC21 AF18:AF21">
    <cfRule type="cellIs" dxfId="578" priority="141" operator="equal">
      <formula>"연"</formula>
    </cfRule>
    <cfRule type="cellIs" dxfId="577" priority="142" operator="equal">
      <formula>"연"</formula>
    </cfRule>
  </conditionalFormatting>
  <conditionalFormatting sqref="H37:J37">
    <cfRule type="cellIs" dxfId="576" priority="1324" operator="equal">
      <formula>"연"</formula>
    </cfRule>
    <cfRule type="cellIs" dxfId="575" priority="1323" operator="equal">
      <formula>"연"</formula>
    </cfRule>
    <cfRule type="cellIs" dxfId="574" priority="1326" operator="equal">
      <formula>"휴"</formula>
    </cfRule>
    <cfRule type="cellIs" dxfId="573" priority="1325" operator="equal">
      <formula>"야"</formula>
    </cfRule>
  </conditionalFormatting>
  <conditionalFormatting sqref="I9:I10">
    <cfRule type="cellIs" dxfId="572" priority="699" operator="equal">
      <formula>"연"</formula>
    </cfRule>
    <cfRule type="cellIs" dxfId="571" priority="700" operator="equal">
      <formula>"연"</formula>
    </cfRule>
  </conditionalFormatting>
  <conditionalFormatting sqref="I10">
    <cfRule type="cellIs" dxfId="570" priority="701" operator="equal">
      <formula>"야"</formula>
    </cfRule>
    <cfRule type="cellIs" dxfId="569" priority="702" operator="equal">
      <formula>"휴"</formula>
    </cfRule>
  </conditionalFormatting>
  <conditionalFormatting sqref="L10">
    <cfRule type="cellIs" dxfId="568" priority="697" operator="equal">
      <formula>"야"</formula>
    </cfRule>
    <cfRule type="cellIs" dxfId="567" priority="696" operator="equal">
      <formula>"연"</formula>
    </cfRule>
    <cfRule type="cellIs" dxfId="566" priority="698" operator="equal">
      <formula>"휴"</formula>
    </cfRule>
    <cfRule type="cellIs" dxfId="565" priority="695" operator="equal">
      <formula>"연"</formula>
    </cfRule>
  </conditionalFormatting>
  <conditionalFormatting sqref="L9:U9 X9 AA9 AD9 C9:F9">
    <cfRule type="cellIs" dxfId="564" priority="1231" operator="equal">
      <formula>"연"</formula>
    </cfRule>
  </conditionalFormatting>
  <conditionalFormatting sqref="N8:O8">
    <cfRule type="cellIs" dxfId="563" priority="527" operator="equal">
      <formula>"연"</formula>
    </cfRule>
    <cfRule type="cellIs" dxfId="562" priority="526" operator="equal">
      <formula>"연"</formula>
    </cfRule>
  </conditionalFormatting>
  <conditionalFormatting sqref="O10:Q10 S10:T10 W10 Z10 AC10 AF10">
    <cfRule type="cellIs" dxfId="561" priority="692" operator="equal">
      <formula>"연"</formula>
    </cfRule>
  </conditionalFormatting>
  <conditionalFormatting sqref="O10:Q10">
    <cfRule type="cellIs" dxfId="560" priority="683" operator="equal">
      <formula>"연"</formula>
    </cfRule>
    <cfRule type="cellIs" dxfId="559" priority="684" operator="equal">
      <formula>"연"</formula>
    </cfRule>
  </conditionalFormatting>
  <conditionalFormatting sqref="O10:W10 Z10:AF10 X10:Y11">
    <cfRule type="cellIs" dxfId="558" priority="676" operator="equal">
      <formula>"연"</formula>
    </cfRule>
  </conditionalFormatting>
  <conditionalFormatting sqref="O10:W10">
    <cfRule type="cellIs" dxfId="557" priority="650" operator="equal">
      <formula>"휴"</formula>
    </cfRule>
    <cfRule type="cellIs" dxfId="556" priority="649" operator="equal">
      <formula>"야"</formula>
    </cfRule>
  </conditionalFormatting>
  <conditionalFormatting sqref="O9:AG9">
    <cfRule type="cellIs" dxfId="555" priority="1200" operator="equal">
      <formula>"연"</formula>
    </cfRule>
    <cfRule type="cellIs" dxfId="554" priority="1199" operator="equal">
      <formula>"연"</formula>
    </cfRule>
  </conditionalFormatting>
  <conditionalFormatting sqref="O10:AG10">
    <cfRule type="cellIs" dxfId="553" priority="1110" operator="equal">
      <formula>"연"</formula>
    </cfRule>
    <cfRule type="cellIs" dxfId="552" priority="1126" operator="equal">
      <formula>"연"</formula>
    </cfRule>
    <cfRule type="cellIs" dxfId="551" priority="1111" operator="equal">
      <formula>"연"</formula>
    </cfRule>
  </conditionalFormatting>
  <conditionalFormatting sqref="O10:AH10">
    <cfRule type="cellIs" dxfId="550" priority="1127" operator="equal">
      <formula>"연"</formula>
    </cfRule>
  </conditionalFormatting>
  <conditionalFormatting sqref="P11:Q11">
    <cfRule type="cellIs" dxfId="549" priority="335" operator="equal">
      <formula>"연"</formula>
    </cfRule>
    <cfRule type="cellIs" dxfId="548" priority="336" operator="equal">
      <formula>"연"</formula>
    </cfRule>
  </conditionalFormatting>
  <conditionalFormatting sqref="P12:Q14">
    <cfRule type="cellIs" dxfId="547" priority="43" operator="equal">
      <formula>"연"</formula>
    </cfRule>
    <cfRule type="cellIs" dxfId="546" priority="44" operator="equal">
      <formula>"연"</formula>
    </cfRule>
  </conditionalFormatting>
  <conditionalFormatting sqref="P18:Q21">
    <cfRule type="cellIs" dxfId="545" priority="7" operator="equal">
      <formula>"연"</formula>
    </cfRule>
    <cfRule type="cellIs" dxfId="544" priority="8" operator="equal">
      <formula>"연"</formula>
    </cfRule>
  </conditionalFormatting>
  <conditionalFormatting sqref="P8:R11">
    <cfRule type="cellIs" dxfId="543" priority="333" operator="equal">
      <formula>"야"</formula>
    </cfRule>
    <cfRule type="cellIs" dxfId="542" priority="334" operator="equal">
      <formula>"휴"</formula>
    </cfRule>
  </conditionalFormatting>
  <conditionalFormatting sqref="P9:R9">
    <cfRule type="cellIs" dxfId="541" priority="1043" operator="equal">
      <formula>"연"</formula>
    </cfRule>
    <cfRule type="cellIs" dxfId="540" priority="1040" operator="equal">
      <formula>"연"</formula>
    </cfRule>
    <cfRule type="cellIs" dxfId="539" priority="1048" operator="equal">
      <formula>"연"</formula>
    </cfRule>
    <cfRule type="cellIs" dxfId="538" priority="1047" operator="equal">
      <formula>"연"</formula>
    </cfRule>
    <cfRule type="cellIs" dxfId="537" priority="1039" operator="equal">
      <formula>"연"</formula>
    </cfRule>
    <cfRule type="cellIs" dxfId="536" priority="1044" operator="equal">
      <formula>"연"</formula>
    </cfRule>
  </conditionalFormatting>
  <conditionalFormatting sqref="P10:AF10">
    <cfRule type="cellIs" dxfId="535" priority="1151" operator="equal">
      <formula>"연"</formula>
    </cfRule>
    <cfRule type="cellIs" dxfId="534" priority="1152" operator="equal">
      <formula>"연"</formula>
    </cfRule>
  </conditionalFormatting>
  <conditionalFormatting sqref="Q11:R11">
    <cfRule type="cellIs" dxfId="533" priority="1074" operator="equal">
      <formula>"연"</formula>
    </cfRule>
    <cfRule type="cellIs" dxfId="532" priority="1075" operator="equal">
      <formula>"연"</formula>
    </cfRule>
  </conditionalFormatting>
  <conditionalFormatting sqref="Q9:U9">
    <cfRule type="cellIs" dxfId="531" priority="1027" operator="equal">
      <formula>"연"</formula>
    </cfRule>
    <cfRule type="cellIs" dxfId="530" priority="1028" operator="equal">
      <formula>"연"</formula>
    </cfRule>
  </conditionalFormatting>
  <conditionalFormatting sqref="Q11:V11">
    <cfRule type="cellIs" dxfId="529" priority="316" operator="equal">
      <formula>"연"</formula>
    </cfRule>
    <cfRule type="cellIs" dxfId="528" priority="315" operator="equal">
      <formula>"연"</formula>
    </cfRule>
  </conditionalFormatting>
  <conditionalFormatting sqref="R9">
    <cfRule type="cellIs" dxfId="527" priority="1035" operator="equal">
      <formula>"연"</formula>
    </cfRule>
    <cfRule type="cellIs" dxfId="526" priority="1036" operator="equal">
      <formula>"연"</formula>
    </cfRule>
  </conditionalFormatting>
  <conditionalFormatting sqref="R11 X11 AA11 AD11">
    <cfRule type="cellIs" dxfId="525" priority="1264" operator="equal">
      <formula>"연"</formula>
    </cfRule>
  </conditionalFormatting>
  <conditionalFormatting sqref="R10:T10 V10 Y10 AA10:AB10">
    <cfRule type="cellIs" dxfId="524" priority="924" operator="equal">
      <formula>"연"</formula>
    </cfRule>
  </conditionalFormatting>
  <conditionalFormatting sqref="R10:T10 V10 AA10:AB10 Y10">
    <cfRule type="cellIs" dxfId="523" priority="923" operator="equal">
      <formula>"연"</formula>
    </cfRule>
  </conditionalFormatting>
  <conditionalFormatting sqref="R10:V10 X10:Y10 AA10:AB10 AD10">
    <cfRule type="cellIs" dxfId="522" priority="668" operator="equal">
      <formula>"연"</formula>
    </cfRule>
    <cfRule type="cellIs" dxfId="521" priority="667" operator="equal">
      <formula>"연"</formula>
    </cfRule>
  </conditionalFormatting>
  <conditionalFormatting sqref="R10:V10">
    <cfRule type="cellIs" dxfId="520" priority="664" operator="equal">
      <formula>"연"</formula>
    </cfRule>
    <cfRule type="cellIs" dxfId="519" priority="663" operator="equal">
      <formula>"연"</formula>
    </cfRule>
  </conditionalFormatting>
  <conditionalFormatting sqref="R11:V11">
    <cfRule type="cellIs" dxfId="518" priority="1211" operator="equal">
      <formula>"연"</formula>
    </cfRule>
    <cfRule type="cellIs" dxfId="517" priority="1212" operator="equal">
      <formula>"연"</formula>
    </cfRule>
  </conditionalFormatting>
  <conditionalFormatting sqref="R7:AG7 S8:AF8 G11:W11">
    <cfRule type="cellIs" dxfId="516" priority="1376" operator="equal">
      <formula>"연"</formula>
    </cfRule>
  </conditionalFormatting>
  <conditionalFormatting sqref="S10:T10 W10 Z10 AC10 AF10 O10:Q10">
    <cfRule type="cellIs" dxfId="515" priority="691" operator="equal">
      <formula>"연"</formula>
    </cfRule>
  </conditionalFormatting>
  <conditionalFormatting sqref="S9:U9">
    <cfRule type="cellIs" dxfId="514" priority="1020" operator="equal">
      <formula>"연"</formula>
    </cfRule>
    <cfRule type="cellIs" dxfId="513" priority="1023" operator="equal">
      <formula>"연"</formula>
    </cfRule>
    <cfRule type="cellIs" dxfId="512" priority="1024" operator="equal">
      <formula>"연"</formula>
    </cfRule>
    <cfRule type="cellIs" dxfId="511" priority="1019" operator="equal">
      <formula>"연"</formula>
    </cfRule>
  </conditionalFormatting>
  <conditionalFormatting sqref="S10:Y10">
    <cfRule type="cellIs" dxfId="510" priority="1122" operator="equal">
      <formula>"연"</formula>
    </cfRule>
    <cfRule type="cellIs" dxfId="509" priority="1123" operator="equal">
      <formula>"연"</formula>
    </cfRule>
  </conditionalFormatting>
  <conditionalFormatting sqref="T10 W10 Z10 AC10 AF10">
    <cfRule type="cellIs" dxfId="508" priority="687" operator="equal">
      <formula>"연"</formula>
    </cfRule>
    <cfRule type="cellIs" dxfId="507" priority="688" operator="equal">
      <formula>"연"</formula>
    </cfRule>
  </conditionalFormatting>
  <conditionalFormatting sqref="T10">
    <cfRule type="cellIs" dxfId="506" priority="680" operator="equal">
      <formula>"연"</formula>
    </cfRule>
    <cfRule type="cellIs" dxfId="505" priority="679" operator="equal">
      <formula>"연"</formula>
    </cfRule>
  </conditionalFormatting>
  <conditionalFormatting sqref="T10:T11">
    <cfRule type="cellIs" dxfId="504" priority="916" operator="equal">
      <formula>"연"</formula>
    </cfRule>
    <cfRule type="cellIs" dxfId="503" priority="915" operator="equal">
      <formula>"연"</formula>
    </cfRule>
  </conditionalFormatting>
  <conditionalFormatting sqref="T9:V11">
    <cfRule type="cellIs" dxfId="502" priority="313" operator="equal">
      <formula>"야"</formula>
    </cfRule>
    <cfRule type="cellIs" dxfId="501" priority="314" operator="equal">
      <formula>"휴"</formula>
    </cfRule>
  </conditionalFormatting>
  <conditionalFormatting sqref="T11:V11">
    <cfRule type="cellIs" dxfId="500" priority="591" operator="equal">
      <formula>"연"</formula>
    </cfRule>
    <cfRule type="cellIs" dxfId="499" priority="312" operator="equal">
      <formula>"연"</formula>
    </cfRule>
    <cfRule type="cellIs" dxfId="498" priority="592" operator="equal">
      <formula>"연"</formula>
    </cfRule>
    <cfRule type="cellIs" dxfId="497" priority="311" operator="equal">
      <formula>"연"</formula>
    </cfRule>
  </conditionalFormatting>
  <conditionalFormatting sqref="T9:X9 AA9 AD9">
    <cfRule type="cellIs" dxfId="496" priority="1007" operator="equal">
      <formula>"연"</formula>
    </cfRule>
    <cfRule type="cellIs" dxfId="495" priority="1008" operator="equal">
      <formula>"연"</formula>
    </cfRule>
  </conditionalFormatting>
  <conditionalFormatting sqref="T11:Y11">
    <cfRule type="cellIs" dxfId="494" priority="884" operator="equal">
      <formula>"연"</formula>
    </cfRule>
    <cfRule type="cellIs" dxfId="493" priority="883" operator="equal">
      <formula>"연"</formula>
    </cfRule>
  </conditionalFormatting>
  <conditionalFormatting sqref="T10:AC10">
    <cfRule type="cellIs" dxfId="492" priority="1135" operator="equal">
      <formula>"연"</formula>
    </cfRule>
    <cfRule type="cellIs" dxfId="491" priority="1136" operator="equal">
      <formula>"연"</formula>
    </cfRule>
  </conditionalFormatting>
  <conditionalFormatting sqref="T9:AF9">
    <cfRule type="cellIs" dxfId="490" priority="1172" operator="equal">
      <formula>"연"</formula>
    </cfRule>
    <cfRule type="cellIs" dxfId="489" priority="1171" operator="equal">
      <formula>"연"</formula>
    </cfRule>
  </conditionalFormatting>
  <conditionalFormatting sqref="U9">
    <cfRule type="cellIs" dxfId="488" priority="1015" operator="equal">
      <formula>"연"</formula>
    </cfRule>
    <cfRule type="cellIs" dxfId="487" priority="1016" operator="equal">
      <formula>"연"</formula>
    </cfRule>
  </conditionalFormatting>
  <conditionalFormatting sqref="U9:U10">
    <cfRule type="cellIs" dxfId="486" priority="654" operator="equal">
      <formula>"휴"</formula>
    </cfRule>
    <cfRule type="cellIs" dxfId="485" priority="653" operator="equal">
      <formula>"야"</formula>
    </cfRule>
  </conditionalFormatting>
  <conditionalFormatting sqref="U10:V10">
    <cfRule type="cellIs" dxfId="484" priority="912" operator="equal">
      <formula>"연"</formula>
    </cfRule>
    <cfRule type="cellIs" dxfId="483" priority="911" operator="equal">
      <formula>"연"</formula>
    </cfRule>
  </conditionalFormatting>
  <conditionalFormatting sqref="U11:V11">
    <cfRule type="cellIs" dxfId="482" priority="325" operator="equal">
      <formula>"야"</formula>
    </cfRule>
    <cfRule type="cellIs" dxfId="481" priority="328" operator="equal">
      <formula>"연"</formula>
    </cfRule>
    <cfRule type="cellIs" dxfId="480" priority="326" operator="equal">
      <formula>"휴"</formula>
    </cfRule>
    <cfRule type="cellIs" dxfId="479" priority="599" operator="equal">
      <formula>"연"</formula>
    </cfRule>
    <cfRule type="cellIs" dxfId="478" priority="600" operator="equal">
      <formula>"연"</formula>
    </cfRule>
    <cfRule type="cellIs" dxfId="477" priority="327" operator="equal">
      <formula>"연"</formula>
    </cfRule>
  </conditionalFormatting>
  <conditionalFormatting sqref="U10:W10">
    <cfRule type="cellIs" dxfId="476" priority="651" operator="equal">
      <formula>"연"</formula>
    </cfRule>
    <cfRule type="cellIs" dxfId="475" priority="652" operator="equal">
      <formula>"연"</formula>
    </cfRule>
  </conditionalFormatting>
  <conditionalFormatting sqref="U10:Y10">
    <cfRule type="cellIs" dxfId="474" priority="660" operator="equal">
      <formula>"연"</formula>
    </cfRule>
    <cfRule type="cellIs" dxfId="473" priority="659" operator="equal">
      <formula>"연"</formula>
    </cfRule>
  </conditionalFormatting>
  <conditionalFormatting sqref="U10:AB10">
    <cfRule type="cellIs" dxfId="472" priority="644" operator="equal">
      <formula>"연"</formula>
    </cfRule>
    <cfRule type="cellIs" dxfId="471" priority="643" operator="equal">
      <formula>"연"</formula>
    </cfRule>
  </conditionalFormatting>
  <conditionalFormatting sqref="U10:AG10">
    <cfRule type="cellIs" dxfId="470" priority="928" operator="equal">
      <formula>"연"</formula>
    </cfRule>
    <cfRule type="cellIs" dxfId="469" priority="927" operator="equal">
      <formula>"연"</formula>
    </cfRule>
  </conditionalFormatting>
  <conditionalFormatting sqref="V10:W10">
    <cfRule type="cellIs" dxfId="468" priority="899" operator="equal">
      <formula>"연"</formula>
    </cfRule>
    <cfRule type="cellIs" dxfId="467" priority="900" operator="equal">
      <formula>"연"</formula>
    </cfRule>
    <cfRule type="cellIs" dxfId="466" priority="908" operator="equal">
      <formula>"연"</formula>
    </cfRule>
    <cfRule type="cellIs" dxfId="465" priority="907" operator="equal">
      <formula>"연"</formula>
    </cfRule>
  </conditionalFormatting>
  <conditionalFormatting sqref="V9:X9 AA9 AD9">
    <cfRule type="cellIs" dxfId="464" priority="1003" operator="equal">
      <formula>"연"</formula>
    </cfRule>
    <cfRule type="cellIs" dxfId="463" priority="1004" operator="equal">
      <formula>"연"</formula>
    </cfRule>
    <cfRule type="cellIs" dxfId="462" priority="1000" operator="equal">
      <formula>"연"</formula>
    </cfRule>
    <cfRule type="cellIs" dxfId="461" priority="999" operator="equal">
      <formula>"연"</formula>
    </cfRule>
  </conditionalFormatting>
  <conditionalFormatting sqref="W9:X9 AA9 AD9">
    <cfRule type="cellIs" dxfId="460" priority="795" operator="equal">
      <formula>"연"</formula>
    </cfRule>
    <cfRule type="cellIs" dxfId="459" priority="799" operator="equal">
      <formula>"연"</formula>
    </cfRule>
    <cfRule type="cellIs" dxfId="458" priority="796" operator="equal">
      <formula>"연"</formula>
    </cfRule>
    <cfRule type="cellIs" dxfId="457" priority="804" operator="equal">
      <formula>"연"</formula>
    </cfRule>
    <cfRule type="cellIs" dxfId="456" priority="800" operator="equal">
      <formula>"연"</formula>
    </cfRule>
    <cfRule type="cellIs" dxfId="455" priority="803" operator="equal">
      <formula>"연"</formula>
    </cfRule>
  </conditionalFormatting>
  <conditionalFormatting sqref="W9:Y9 AA9:AB9 AD9:AE9">
    <cfRule type="cellIs" dxfId="454" priority="783" operator="equal">
      <formula>"연"</formula>
    </cfRule>
    <cfRule type="cellIs" dxfId="453" priority="784" operator="equal">
      <formula>"연"</formula>
    </cfRule>
  </conditionalFormatting>
  <conditionalFormatting sqref="W9:Y9 AA9:AB9 AD9:AG9">
    <cfRule type="cellIs" dxfId="452" priority="807" operator="equal">
      <formula>"연"</formula>
    </cfRule>
    <cfRule type="cellIs" dxfId="451" priority="808" operator="equal">
      <formula>"연"</formula>
    </cfRule>
  </conditionalFormatting>
  <conditionalFormatting sqref="W9:AF9">
    <cfRule type="cellIs" dxfId="450" priority="988" operator="equal">
      <formula>"연"</formula>
    </cfRule>
    <cfRule type="cellIs" dxfId="449" priority="987" operator="equal">
      <formula>"연"</formula>
    </cfRule>
  </conditionalFormatting>
  <conditionalFormatting sqref="W12:AG14">
    <cfRule type="cellIs" dxfId="448" priority="46" operator="equal">
      <formula>"연"</formula>
    </cfRule>
    <cfRule type="cellIs" dxfId="447" priority="45" operator="equal">
      <formula>"연"</formula>
    </cfRule>
  </conditionalFormatting>
  <conditionalFormatting sqref="W18:AG20">
    <cfRule type="cellIs" dxfId="446" priority="10" operator="equal">
      <formula>"연"</formula>
    </cfRule>
    <cfRule type="cellIs" dxfId="445" priority="9" operator="equal">
      <formula>"연"</formula>
    </cfRule>
  </conditionalFormatting>
  <conditionalFormatting sqref="W21:AG21">
    <cfRule type="cellIs" dxfId="444" priority="146" operator="equal">
      <formula>"연"</formula>
    </cfRule>
    <cfRule type="cellIs" dxfId="443" priority="147" operator="equal">
      <formula>"연"</formula>
    </cfRule>
  </conditionalFormatting>
  <conditionalFormatting sqref="X9 AA9 AD9">
    <cfRule type="cellIs" dxfId="442" priority="792" operator="equal">
      <formula>"연"</formula>
    </cfRule>
    <cfRule type="cellIs" dxfId="441" priority="791" operator="equal">
      <formula>"연"</formula>
    </cfRule>
    <cfRule type="cellIs" dxfId="440" priority="996" operator="equal">
      <formula>"연"</formula>
    </cfRule>
  </conditionalFormatting>
  <conditionalFormatting sqref="X11 AA11 AD11 R11">
    <cfRule type="cellIs" dxfId="439" priority="1263" operator="equal">
      <formula>"연"</formula>
    </cfRule>
  </conditionalFormatting>
  <conditionalFormatting sqref="X11">
    <cfRule type="cellIs" dxfId="438" priority="876" operator="equal">
      <formula>"연"</formula>
    </cfRule>
    <cfRule type="cellIs" dxfId="437" priority="875" operator="equal">
      <formula>"연"</formula>
    </cfRule>
    <cfRule type="cellIs" dxfId="436" priority="588" operator="equal">
      <formula>"연"</formula>
    </cfRule>
    <cfRule type="cellIs" dxfId="435" priority="587" operator="equal">
      <formula>"연"</formula>
    </cfRule>
    <cfRule type="cellIs" dxfId="434" priority="584" operator="equal">
      <formula>"연"</formula>
    </cfRule>
    <cfRule type="cellIs" dxfId="433" priority="583" operator="equal">
      <formula>"연"</formula>
    </cfRule>
  </conditionalFormatting>
  <conditionalFormatting sqref="X9:Y9 AA9:AB9 AD9:AE9">
    <cfRule type="cellIs" dxfId="432" priority="360" operator="equal">
      <formula>"연"</formula>
    </cfRule>
    <cfRule type="cellIs" dxfId="431" priority="363" operator="equal">
      <formula>"연"</formula>
    </cfRule>
    <cfRule type="cellIs" dxfId="430" priority="359" operator="equal">
      <formula>"연"</formula>
    </cfRule>
    <cfRule type="cellIs" dxfId="429" priority="364" operator="equal">
      <formula>"연"</formula>
    </cfRule>
    <cfRule type="cellIs" dxfId="428" priority="367" operator="equal">
      <formula>"연"</formula>
    </cfRule>
    <cfRule type="cellIs" dxfId="427" priority="368" operator="equal">
      <formula>"연"</formula>
    </cfRule>
  </conditionalFormatting>
  <conditionalFormatting sqref="X11:Y11">
    <cfRule type="cellIs" dxfId="426" priority="879" operator="equal">
      <formula>"연"</formula>
    </cfRule>
    <cfRule type="cellIs" dxfId="425" priority="283" operator="equal">
      <formula>"연"</formula>
    </cfRule>
    <cfRule type="cellIs" dxfId="424" priority="284" operator="equal">
      <formula>"연"</formula>
    </cfRule>
    <cfRule type="cellIs" dxfId="423" priority="880" operator="equal">
      <formula>"연"</formula>
    </cfRule>
  </conditionalFormatting>
  <conditionalFormatting sqref="X10:Z10">
    <cfRule type="cellIs" dxfId="422" priority="636" operator="equal">
      <formula>"연"</formula>
    </cfRule>
    <cfRule type="cellIs" dxfId="421" priority="635" operator="equal">
      <formula>"연"</formula>
    </cfRule>
  </conditionalFormatting>
  <conditionalFormatting sqref="X11:Z11">
    <cfRule type="cellIs" dxfId="420" priority="307" operator="equal">
      <formula>"연"</formula>
    </cfRule>
    <cfRule type="cellIs" dxfId="419" priority="308" operator="equal">
      <formula>"연"</formula>
    </cfRule>
  </conditionalFormatting>
  <conditionalFormatting sqref="X10:AB11">
    <cfRule type="cellIs" dxfId="418" priority="1099" operator="equal">
      <formula>"연"</formula>
    </cfRule>
    <cfRule type="cellIs" dxfId="417" priority="1098" operator="equal">
      <formula>"연"</formula>
    </cfRule>
  </conditionalFormatting>
  <conditionalFormatting sqref="X9:AD11">
    <cfRule type="cellIs" dxfId="416" priority="177" operator="equal">
      <formula>"휴"</formula>
    </cfRule>
    <cfRule type="cellIs" dxfId="415" priority="176" operator="equal">
      <formula>"야"</formula>
    </cfRule>
  </conditionalFormatting>
  <conditionalFormatting sqref="X10:AE10">
    <cfRule type="cellIs" dxfId="414" priority="627" operator="equal">
      <formula>"연"</formula>
    </cfRule>
    <cfRule type="cellIs" dxfId="413" priority="628" operator="equal">
      <formula>"연"</formula>
    </cfRule>
  </conditionalFormatting>
  <conditionalFormatting sqref="X9:AF9">
    <cfRule type="cellIs" dxfId="412" priority="347" operator="equal">
      <formula>"연"</formula>
    </cfRule>
    <cfRule type="cellIs" dxfId="411" priority="348" operator="equal">
      <formula>"연"</formula>
    </cfRule>
  </conditionalFormatting>
  <conditionalFormatting sqref="X11:AG11">
    <cfRule type="cellIs" dxfId="410" priority="1215" operator="equal">
      <formula>"연"</formula>
    </cfRule>
    <cfRule type="cellIs" dxfId="409" priority="1216" operator="equal">
      <formula>"연"</formula>
    </cfRule>
  </conditionalFormatting>
  <conditionalFormatting sqref="Y9 AB9 AE9">
    <cfRule type="cellIs" dxfId="408" priority="356" operator="equal">
      <formula>"연"</formula>
    </cfRule>
    <cfRule type="cellIs" dxfId="407" priority="371" operator="equal">
      <formula>"연"</formula>
    </cfRule>
    <cfRule type="cellIs" dxfId="406" priority="372" operator="equal">
      <formula>"연"</formula>
    </cfRule>
    <cfRule type="cellIs" dxfId="405" priority="355" operator="equal">
      <formula>"연"</formula>
    </cfRule>
  </conditionalFormatting>
  <conditionalFormatting sqref="Y10:Z11">
    <cfRule type="cellIs" dxfId="404" priority="246" operator="equal">
      <formula>"휴"</formula>
    </cfRule>
    <cfRule type="cellIs" dxfId="403" priority="245" operator="equal">
      <formula>"야"</formula>
    </cfRule>
  </conditionalFormatting>
  <conditionalFormatting sqref="Y11:Z11">
    <cfRule type="cellIs" dxfId="402" priority="292" operator="equal">
      <formula>"연"</formula>
    </cfRule>
    <cfRule type="cellIs" dxfId="401" priority="244" operator="equal">
      <formula>"연"</formula>
    </cfRule>
    <cfRule type="cellIs" dxfId="400" priority="243" operator="equal">
      <formula>"연"</formula>
    </cfRule>
    <cfRule type="cellIs" dxfId="399" priority="291" operator="equal">
      <formula>"연"</formula>
    </cfRule>
  </conditionalFormatting>
  <conditionalFormatting sqref="Y9:AC9 AE9:AF9">
    <cfRule type="cellIs" dxfId="398" priority="979" operator="equal">
      <formula>"연"</formula>
    </cfRule>
    <cfRule type="cellIs" dxfId="397" priority="980" operator="equal">
      <formula>"연"</formula>
    </cfRule>
    <cfRule type="cellIs" dxfId="396" priority="983" operator="equal">
      <formula>"연"</formula>
    </cfRule>
    <cfRule type="cellIs" dxfId="395" priority="984" operator="equal">
      <formula>"연"</formula>
    </cfRule>
  </conditionalFormatting>
  <conditionalFormatting sqref="Y9:AC9 AE9:AF10">
    <cfRule type="cellIs" dxfId="394" priority="771" operator="equal">
      <formula>"연"</formula>
    </cfRule>
    <cfRule type="cellIs" dxfId="393" priority="772" operator="equal">
      <formula>"연"</formula>
    </cfRule>
  </conditionalFormatting>
  <conditionalFormatting sqref="Z9 AC9 AF9">
    <cfRule type="cellIs" dxfId="392" priority="344" operator="equal">
      <formula>"연"</formula>
    </cfRule>
    <cfRule type="cellIs" dxfId="391" priority="339" operator="equal">
      <formula>"연"</formula>
    </cfRule>
    <cfRule type="cellIs" dxfId="390" priority="340" operator="equal">
      <formula>"연"</formula>
    </cfRule>
    <cfRule type="cellIs" dxfId="389" priority="343" operator="equal">
      <formula>"연"</formula>
    </cfRule>
  </conditionalFormatting>
  <conditionalFormatting sqref="Z11">
    <cfRule type="cellIs" dxfId="388" priority="567" operator="equal">
      <formula>"연"</formula>
    </cfRule>
    <cfRule type="cellIs" dxfId="387" priority="299" operator="equal">
      <formula>"연"</formula>
    </cfRule>
    <cfRule type="cellIs" dxfId="386" priority="300" operator="equal">
      <formula>"연"</formula>
    </cfRule>
    <cfRule type="cellIs" dxfId="385" priority="303" operator="equal">
      <formula>"연"</formula>
    </cfRule>
    <cfRule type="cellIs" dxfId="384" priority="304" operator="equal">
      <formula>"연"</formula>
    </cfRule>
    <cfRule type="cellIs" dxfId="383" priority="568" operator="equal">
      <formula>"연"</formula>
    </cfRule>
  </conditionalFormatting>
  <conditionalFormatting sqref="Z9:AA9 AC9 AF9">
    <cfRule type="cellIs" dxfId="382" priority="768" operator="equal">
      <formula>"연"</formula>
    </cfRule>
    <cfRule type="cellIs" dxfId="381" priority="767" operator="equal">
      <formula>"연"</formula>
    </cfRule>
    <cfRule type="cellIs" dxfId="380" priority="763" operator="equal">
      <formula>"연"</formula>
    </cfRule>
    <cfRule type="cellIs" dxfId="379" priority="764" operator="equal">
      <formula>"연"</formula>
    </cfRule>
    <cfRule type="cellIs" dxfId="378" priority="759" operator="equal">
      <formula>"연"</formula>
    </cfRule>
    <cfRule type="cellIs" dxfId="377" priority="760" operator="equal">
      <formula>"연"</formula>
    </cfRule>
  </conditionalFormatting>
  <conditionalFormatting sqref="Z11:AA11">
    <cfRule type="cellIs" dxfId="376" priority="572" operator="equal">
      <formula>"연"</formula>
    </cfRule>
    <cfRule type="cellIs" dxfId="375" priority="571" operator="equal">
      <formula>"연"</formula>
    </cfRule>
  </conditionalFormatting>
  <conditionalFormatting sqref="Z9:AC9">
    <cfRule type="cellIs" dxfId="374" priority="748" operator="equal">
      <formula>"연"</formula>
    </cfRule>
    <cfRule type="cellIs" dxfId="373" priority="747" operator="equal">
      <formula>"연"</formula>
    </cfRule>
  </conditionalFormatting>
  <conditionalFormatting sqref="Z9:AD9">
    <cfRule type="cellIs" dxfId="372" priority="967" operator="equal">
      <formula>"연"</formula>
    </cfRule>
    <cfRule type="cellIs" dxfId="371" priority="968" operator="equal">
      <formula>"연"</formula>
    </cfRule>
  </conditionalFormatting>
  <conditionalFormatting sqref="Z9:AF10">
    <cfRule type="cellIs" dxfId="370" priority="353" operator="equal">
      <formula>"야"</formula>
    </cfRule>
    <cfRule type="cellIs" dxfId="369" priority="354" operator="equal">
      <formula>"휴"</formula>
    </cfRule>
  </conditionalFormatting>
  <conditionalFormatting sqref="Z10:AF10 O10:W10 X10:Y11">
    <cfRule type="cellIs" dxfId="368" priority="675" operator="equal">
      <formula>"연"</formula>
    </cfRule>
  </conditionalFormatting>
  <conditionalFormatting sqref="AA9 X9 AD9">
    <cfRule type="cellIs" dxfId="367" priority="995" operator="equal">
      <formula>"연"</formula>
    </cfRule>
  </conditionalFormatting>
  <conditionalFormatting sqref="AA9">
    <cfRule type="cellIs" dxfId="366" priority="756" operator="equal">
      <formula>"연"</formula>
    </cfRule>
    <cfRule type="cellIs" dxfId="365" priority="992" operator="equal">
      <formula>"연"</formula>
    </cfRule>
    <cfRule type="cellIs" dxfId="364" priority="976" operator="equal">
      <formula>"연"</formula>
    </cfRule>
    <cfRule type="cellIs" dxfId="363" priority="975" operator="equal">
      <formula>"연"</formula>
    </cfRule>
    <cfRule type="cellIs" dxfId="362" priority="991" operator="equal">
      <formula>"연"</formula>
    </cfRule>
    <cfRule type="cellIs" dxfId="361" priority="755" operator="equal">
      <formula>"연"</formula>
    </cfRule>
  </conditionalFormatting>
  <conditionalFormatting sqref="AA11">
    <cfRule type="cellIs" dxfId="360" priority="580" operator="equal">
      <formula>"연"</formula>
    </cfRule>
    <cfRule type="cellIs" dxfId="359" priority="579" operator="equal">
      <formula>"연"</formula>
    </cfRule>
  </conditionalFormatting>
  <conditionalFormatting sqref="AA9:AB9">
    <cfRule type="cellIs" dxfId="358" priority="1192" operator="equal">
      <formula>"연"</formula>
    </cfRule>
    <cfRule type="cellIs" dxfId="357" priority="1191" operator="equal">
      <formula>"연"</formula>
    </cfRule>
  </conditionalFormatting>
  <conditionalFormatting sqref="AA10:AB10">
    <cfRule type="cellIs" dxfId="356" priority="864" operator="equal">
      <formula>"연"</formula>
    </cfRule>
    <cfRule type="cellIs" dxfId="355" priority="863" operator="equal">
      <formula>"연"</formula>
    </cfRule>
  </conditionalFormatting>
  <conditionalFormatting sqref="AA10:AC10">
    <cfRule type="cellIs" dxfId="354" priority="619" operator="equal">
      <formula>"연"</formula>
    </cfRule>
    <cfRule type="cellIs" dxfId="353" priority="620" operator="equal">
      <formula>"연"</formula>
    </cfRule>
    <cfRule type="cellIs" dxfId="352" priority="847" operator="equal">
      <formula>"연"</formula>
    </cfRule>
    <cfRule type="cellIs" dxfId="351" priority="848" operator="equal">
      <formula>"연"</formula>
    </cfRule>
  </conditionalFormatting>
  <conditionalFormatting sqref="AA10:AE10">
    <cfRule type="cellIs" dxfId="350" priority="855" operator="equal">
      <formula>"연"</formula>
    </cfRule>
    <cfRule type="cellIs" dxfId="349" priority="856" operator="equal">
      <formula>"연"</formula>
    </cfRule>
  </conditionalFormatting>
  <conditionalFormatting sqref="AA10:AF10">
    <cfRule type="cellIs" dxfId="348" priority="612" operator="equal">
      <formula>"연"</formula>
    </cfRule>
    <cfRule type="cellIs" dxfId="347" priority="611" operator="equal">
      <formula>"연"</formula>
    </cfRule>
    <cfRule type="cellIs" dxfId="346" priority="605" operator="equal">
      <formula>"야"</formula>
    </cfRule>
    <cfRule type="cellIs" dxfId="345" priority="606" operator="equal">
      <formula>"휴"</formula>
    </cfRule>
  </conditionalFormatting>
  <conditionalFormatting sqref="AB9 AE9 Y9:Y11">
    <cfRule type="cellIs" dxfId="344" priority="780" operator="equal">
      <formula>"연"</formula>
    </cfRule>
    <cfRule type="cellIs" dxfId="343" priority="779" operator="equal">
      <formula>"연"</formula>
    </cfRule>
  </conditionalFormatting>
  <conditionalFormatting sqref="AB9">
    <cfRule type="cellIs" dxfId="342" priority="743" operator="equal">
      <formula>"연"</formula>
    </cfRule>
    <cfRule type="cellIs" dxfId="341" priority="744" operator="equal">
      <formula>"연"</formula>
    </cfRule>
    <cfRule type="cellIs" dxfId="340" priority="776" operator="equal">
      <formula>"연"</formula>
    </cfRule>
    <cfRule type="cellIs" dxfId="339" priority="775" operator="equal">
      <formula>"연"</formula>
    </cfRule>
  </conditionalFormatting>
  <conditionalFormatting sqref="AB11:AC11">
    <cfRule type="cellIs" dxfId="338" priority="255" operator="equal">
      <formula>"연"</formula>
    </cfRule>
    <cfRule type="cellIs" dxfId="337" priority="256" operator="equal">
      <formula>"연"</formula>
    </cfRule>
  </conditionalFormatting>
  <conditionalFormatting sqref="AB9:AD9">
    <cfRule type="cellIs" dxfId="336" priority="959" operator="equal">
      <formula>"연"</formula>
    </cfRule>
    <cfRule type="cellIs" dxfId="335" priority="963" operator="equal">
      <formula>"연"</formula>
    </cfRule>
    <cfRule type="cellIs" dxfId="334" priority="964" operator="equal">
      <formula>"연"</formula>
    </cfRule>
    <cfRule type="cellIs" dxfId="333" priority="960" operator="equal">
      <formula>"연"</formula>
    </cfRule>
  </conditionalFormatting>
  <conditionalFormatting sqref="AB11:AD11">
    <cfRule type="cellIs" dxfId="332" priority="275" operator="equal">
      <formula>"연"</formula>
    </cfRule>
    <cfRule type="cellIs" dxfId="331" priority="276" operator="equal">
      <formula>"연"</formula>
    </cfRule>
    <cfRule type="cellIs" dxfId="330" priority="254" operator="equal">
      <formula>"휴"</formula>
    </cfRule>
    <cfRule type="cellIs" dxfId="329" priority="253" operator="equal">
      <formula>"야"</formula>
    </cfRule>
  </conditionalFormatting>
  <conditionalFormatting sqref="AB10:AE10">
    <cfRule type="cellIs" dxfId="328" priority="835" operator="equal">
      <formula>"연"</formula>
    </cfRule>
    <cfRule type="cellIs" dxfId="327" priority="836" operator="equal">
      <formula>"연"</formula>
    </cfRule>
  </conditionalFormatting>
  <conditionalFormatting sqref="AB9:AF9">
    <cfRule type="cellIs" dxfId="326" priority="735" operator="equal">
      <formula>"연"</formula>
    </cfRule>
    <cfRule type="cellIs" dxfId="325" priority="736" operator="equal">
      <formula>"연"</formula>
    </cfRule>
  </conditionalFormatting>
  <conditionalFormatting sqref="AC9 AF9">
    <cfRule type="cellIs" dxfId="324" priority="972" operator="equal">
      <formula>"연"</formula>
    </cfRule>
    <cfRule type="cellIs" dxfId="323" priority="971" operator="equal">
      <formula>"연"</formula>
    </cfRule>
  </conditionalFormatting>
  <conditionalFormatting sqref="AC11">
    <cfRule type="cellIs" dxfId="322" priority="551" operator="equal">
      <formula>"연"</formula>
    </cfRule>
    <cfRule type="cellIs" dxfId="321" priority="552" operator="equal">
      <formula>"연"</formula>
    </cfRule>
  </conditionalFormatting>
  <conditionalFormatting sqref="AC9:AD9">
    <cfRule type="cellIs" dxfId="320" priority="732" operator="equal">
      <formula>"연"</formula>
    </cfRule>
    <cfRule type="cellIs" dxfId="319" priority="731" operator="equal">
      <formula>"연"</formula>
    </cfRule>
    <cfRule type="cellIs" dxfId="318" priority="724" operator="equal">
      <formula>"연"</formula>
    </cfRule>
    <cfRule type="cellIs" dxfId="317" priority="727" operator="equal">
      <formula>"연"</formula>
    </cfRule>
    <cfRule type="cellIs" dxfId="316" priority="728" operator="equal">
      <formula>"연"</formula>
    </cfRule>
    <cfRule type="cellIs" dxfId="315" priority="723" operator="equal">
      <formula>"연"</formula>
    </cfRule>
  </conditionalFormatting>
  <conditionalFormatting sqref="AC9:AD10 P10:R10 T10:U10 W10:X10 Z10:AB10 AE10:AF10">
    <cfRule type="cellIs" dxfId="314" priority="1115" operator="equal">
      <formula>"연"</formula>
    </cfRule>
    <cfRule type="cellIs" dxfId="313" priority="1114" operator="equal">
      <formula>"연"</formula>
    </cfRule>
  </conditionalFormatting>
  <conditionalFormatting sqref="AC11:AD11">
    <cfRule type="cellIs" dxfId="312" priority="251" operator="equal">
      <formula>"연"</formula>
    </cfRule>
    <cfRule type="cellIs" dxfId="311" priority="555" operator="equal">
      <formula>"연"</formula>
    </cfRule>
    <cfRule type="cellIs" dxfId="310" priority="556" operator="equal">
      <formula>"연"</formula>
    </cfRule>
    <cfRule type="cellIs" dxfId="309" priority="264" operator="equal">
      <formula>"연"</formula>
    </cfRule>
    <cfRule type="cellIs" dxfId="308" priority="263" operator="equal">
      <formula>"연"</formula>
    </cfRule>
    <cfRule type="cellIs" dxfId="307" priority="252" operator="equal">
      <formula>"연"</formula>
    </cfRule>
  </conditionalFormatting>
  <conditionalFormatting sqref="AC9:AE9">
    <cfRule type="cellIs" dxfId="306" priority="712" operator="equal">
      <formula>"연"</formula>
    </cfRule>
    <cfRule type="cellIs" dxfId="305" priority="711" operator="equal">
      <formula>"연"</formula>
    </cfRule>
  </conditionalFormatting>
  <conditionalFormatting sqref="AC9:AG10">
    <cfRule type="cellIs" dxfId="304" priority="947" operator="equal">
      <formula>"연"</formula>
    </cfRule>
    <cfRule type="cellIs" dxfId="303" priority="948" operator="equal">
      <formula>"연"</formula>
    </cfRule>
  </conditionalFormatting>
  <conditionalFormatting sqref="AD9">
    <cfRule type="cellIs" dxfId="302" priority="955" operator="equal">
      <formula>"연"</formula>
    </cfRule>
    <cfRule type="cellIs" dxfId="301" priority="956" operator="equal">
      <formula>"연"</formula>
    </cfRule>
    <cfRule type="cellIs" dxfId="300" priority="719" operator="equal">
      <formula>"연"</formula>
    </cfRule>
    <cfRule type="cellIs" dxfId="299" priority="720" operator="equal">
      <formula>"연"</formula>
    </cfRule>
  </conditionalFormatting>
  <conditionalFormatting sqref="AD10">
    <cfRule type="cellIs" dxfId="298" priority="607" operator="equal">
      <formula>"연"</formula>
    </cfRule>
    <cfRule type="cellIs" dxfId="297" priority="608" operator="equal">
      <formula>"연"</formula>
    </cfRule>
  </conditionalFormatting>
  <conditionalFormatting sqref="AD11">
    <cfRule type="cellIs" dxfId="296" priority="227" operator="equal">
      <formula>"연"</formula>
    </cfRule>
    <cfRule type="cellIs" dxfId="295" priority="190" operator="equal">
      <formula>"연"</formula>
    </cfRule>
    <cfRule type="cellIs" dxfId="294" priority="223" operator="equal">
      <formula>"연"</formula>
    </cfRule>
    <cfRule type="cellIs" dxfId="293" priority="222" operator="equal">
      <formula>"연"</formula>
    </cfRule>
    <cfRule type="cellIs" dxfId="292" priority="219" operator="equal">
      <formula>"연"</formula>
    </cfRule>
    <cfRule type="cellIs" dxfId="291" priority="218" operator="equal">
      <formula>"연"</formula>
    </cfRule>
    <cfRule type="cellIs" dxfId="290" priority="215" operator="equal">
      <formula>"연"</formula>
    </cfRule>
    <cfRule type="cellIs" dxfId="289" priority="214" operator="equal">
      <formula>"연"</formula>
    </cfRule>
    <cfRule type="cellIs" dxfId="288" priority="211" operator="equal">
      <formula>"연"</formula>
    </cfRule>
    <cfRule type="cellIs" dxfId="287" priority="210" operator="equal">
      <formula>"연"</formula>
    </cfRule>
    <cfRule type="cellIs" dxfId="286" priority="564" operator="equal">
      <formula>"연"</formula>
    </cfRule>
    <cfRule type="cellIs" dxfId="285" priority="563" operator="equal">
      <formula>"연"</formula>
    </cfRule>
    <cfRule type="cellIs" dxfId="284" priority="207" operator="equal">
      <formula>"연"</formula>
    </cfRule>
    <cfRule type="cellIs" dxfId="283" priority="206" operator="equal">
      <formula>"연"</formula>
    </cfRule>
    <cfRule type="cellIs" dxfId="282" priority="203" operator="equal">
      <formula>"연"</formula>
    </cfRule>
    <cfRule type="cellIs" dxfId="281" priority="202" operator="equal">
      <formula>"연"</formula>
    </cfRule>
    <cfRule type="cellIs" dxfId="280" priority="199" operator="equal">
      <formula>"연"</formula>
    </cfRule>
    <cfRule type="cellIs" dxfId="279" priority="198" operator="equal">
      <formula>"연"</formula>
    </cfRule>
    <cfRule type="cellIs" dxfId="278" priority="195" operator="equal">
      <formula>"연"</formula>
    </cfRule>
    <cfRule type="cellIs" dxfId="277" priority="194" operator="equal">
      <formula>"연"</formula>
    </cfRule>
    <cfRule type="cellIs" dxfId="276" priority="191" operator="equal">
      <formula>"연"</formula>
    </cfRule>
    <cfRule type="cellIs" dxfId="275" priority="187" operator="equal">
      <formula>"연"</formula>
    </cfRule>
    <cfRule type="cellIs" dxfId="274" priority="186" operator="equal">
      <formula>"연"</formula>
    </cfRule>
    <cfRule type="cellIs" dxfId="273" priority="183" operator="equal">
      <formula>"연"</formula>
    </cfRule>
    <cfRule type="cellIs" dxfId="272" priority="182" operator="equal">
      <formula>"연"</formula>
    </cfRule>
    <cfRule type="cellIs" dxfId="271" priority="179" operator="equal">
      <formula>"연"</formula>
    </cfRule>
    <cfRule type="cellIs" dxfId="270" priority="178" operator="equal">
      <formula>"연"</formula>
    </cfRule>
    <cfRule type="cellIs" dxfId="269" priority="175" operator="equal">
      <formula>"연"</formula>
    </cfRule>
    <cfRule type="cellIs" dxfId="268" priority="174" operator="equal">
      <formula>"연"</formula>
    </cfRule>
    <cfRule type="cellIs" dxfId="267" priority="226" operator="equal">
      <formula>"연"</formula>
    </cfRule>
    <cfRule type="cellIs" dxfId="266" priority="272" operator="equal">
      <formula>"연"</formula>
    </cfRule>
    <cfRule type="cellIs" dxfId="265" priority="271" operator="equal">
      <formula>"연"</formula>
    </cfRule>
    <cfRule type="cellIs" dxfId="264" priority="239" operator="equal">
      <formula>"연"</formula>
    </cfRule>
    <cfRule type="cellIs" dxfId="263" priority="238" operator="equal">
      <formula>"연"</formula>
    </cfRule>
    <cfRule type="cellIs" dxfId="262" priority="235" operator="equal">
      <formula>"연"</formula>
    </cfRule>
    <cfRule type="cellIs" dxfId="261" priority="234" operator="equal">
      <formula>"연"</formula>
    </cfRule>
    <cfRule type="cellIs" dxfId="260" priority="231" operator="equal">
      <formula>"연"</formula>
    </cfRule>
    <cfRule type="cellIs" dxfId="259" priority="230" operator="equal">
      <formula>"연"</formula>
    </cfRule>
  </conditionalFormatting>
  <conditionalFormatting sqref="AD10:AF10">
    <cfRule type="cellIs" dxfId="258" priority="603" operator="equal">
      <formula>"연"</formula>
    </cfRule>
    <cfRule type="cellIs" dxfId="257" priority="604" operator="equal">
      <formula>"연"</formula>
    </cfRule>
    <cfRule type="cellIs" dxfId="256" priority="819" operator="equal">
      <formula>"연"</formula>
    </cfRule>
    <cfRule type="cellIs" dxfId="255" priority="820" operator="equal">
      <formula>"연"</formula>
    </cfRule>
    <cfRule type="cellIs" dxfId="254" priority="827" operator="equal">
      <formula>"연"</formula>
    </cfRule>
    <cfRule type="cellIs" dxfId="253" priority="828" operator="equal">
      <formula>"연"</formula>
    </cfRule>
  </conditionalFormatting>
  <conditionalFormatting sqref="AD15:AF17">
    <cfRule type="cellIs" dxfId="252" priority="50" operator="equal">
      <formula>"휴"</formula>
    </cfRule>
    <cfRule type="cellIs" dxfId="251" priority="49" operator="equal">
      <formula>"야"</formula>
    </cfRule>
  </conditionalFormatting>
  <conditionalFormatting sqref="AE9">
    <cfRule type="cellIs" dxfId="250" priority="707" operator="equal">
      <formula>"연"</formula>
    </cfRule>
    <cfRule type="cellIs" dxfId="249" priority="708" operator="equal">
      <formula>"연"</formula>
    </cfRule>
  </conditionalFormatting>
  <conditionalFormatting sqref="AE9:AE10">
    <cfRule type="cellIs" dxfId="248" priority="671" operator="equal">
      <formula>"연"</formula>
    </cfRule>
    <cfRule type="cellIs" dxfId="247" priority="672" operator="equal">
      <formula>"연"</formula>
    </cfRule>
  </conditionalFormatting>
  <conditionalFormatting sqref="AE9:AG9">
    <cfRule type="cellIs" dxfId="246" priority="943" operator="equal">
      <formula>"연"</formula>
    </cfRule>
    <cfRule type="cellIs" dxfId="245" priority="944" operator="equal">
      <formula>"연"</formula>
    </cfRule>
    <cfRule type="cellIs" dxfId="244" priority="939" operator="equal">
      <formula>"연"</formula>
    </cfRule>
    <cfRule type="cellIs" dxfId="243" priority="940" operator="equal">
      <formula>"연"</formula>
    </cfRule>
  </conditionalFormatting>
  <conditionalFormatting sqref="AF9:AF11">
    <cfRule type="cellIs" dxfId="242" priority="341" operator="equal">
      <formula>"야"</formula>
    </cfRule>
    <cfRule type="cellIs" dxfId="241" priority="342" operator="equal">
      <formula>"휴"</formula>
    </cfRule>
  </conditionalFormatting>
  <conditionalFormatting sqref="AF11:AG11">
    <cfRule type="cellIs" dxfId="240" priority="536" operator="equal">
      <formula>"연"</formula>
    </cfRule>
    <cfRule type="cellIs" dxfId="239" priority="535" operator="equal">
      <formula>"연"</formula>
    </cfRule>
  </conditionalFormatting>
  <conditionalFormatting sqref="AG8:AG9">
    <cfRule type="cellIs" dxfId="238" priority="937" operator="equal">
      <formula>"야"</formula>
    </cfRule>
    <cfRule type="cellIs" dxfId="237" priority="938" operator="equal">
      <formula>"휴"</formula>
    </cfRule>
  </conditionalFormatting>
  <conditionalFormatting sqref="AG9">
    <cfRule type="cellIs" dxfId="236" priority="935" operator="equal">
      <formula>"연"</formula>
    </cfRule>
    <cfRule type="cellIs" dxfId="235" priority="936" operator="equal">
      <formula>"연"</formula>
    </cfRule>
  </conditionalFormatting>
  <conditionalFormatting sqref="AG11">
    <cfRule type="cellIs" dxfId="234" priority="547" operator="equal">
      <formula>"연"</formula>
    </cfRule>
    <cfRule type="cellIs" dxfId="233" priority="548" operator="equal">
      <formula>"연"</formula>
    </cfRule>
    <cfRule type="cellIs" dxfId="232" priority="544" operator="equal">
      <formula>"연"</formula>
    </cfRule>
    <cfRule type="cellIs" dxfId="231" priority="543" operator="equal">
      <formula>"연"</formula>
    </cfRule>
  </conditionalFormatting>
  <conditionalFormatting sqref="AH6:AH8">
    <cfRule type="cellIs" dxfId="230" priority="1275" operator="equal">
      <formula>"연"</formula>
    </cfRule>
  </conditionalFormatting>
  <conditionalFormatting sqref="AH6:AH21 C11:O11 X11:AG11 AT11:AT21">
    <cfRule type="cellIs" dxfId="229" priority="1259" operator="equal">
      <formula>"연"</formula>
    </cfRule>
  </conditionalFormatting>
  <conditionalFormatting sqref="AJ4:AJ24">
    <cfRule type="cellIs" dxfId="228" priority="170" operator="equal">
      <formula>"연"</formula>
    </cfRule>
  </conditionalFormatting>
  <conditionalFormatting sqref="AJ4:AJ25 AI23">
    <cfRule type="cellIs" dxfId="227" priority="1407" operator="equal">
      <formula>"휴"</formula>
    </cfRule>
  </conditionalFormatting>
  <conditionalFormatting sqref="AN37">
    <cfRule type="colorScale" priority="132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8">
    <cfRule type="colorScale" priority="1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39">
    <cfRule type="colorScale" priority="1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0">
    <cfRule type="colorScale" priority="13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N41:AN42">
    <cfRule type="colorScale" priority="1309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O9">
    <cfRule type="cellIs" dxfId="226" priority="408" operator="equal">
      <formula>"연"</formula>
    </cfRule>
    <cfRule type="cellIs" dxfId="225" priority="412" operator="equal">
      <formula>"연"</formula>
    </cfRule>
    <cfRule type="cellIs" dxfId="224" priority="409" operator="equal">
      <formula>"연"</formula>
    </cfRule>
    <cfRule type="cellIs" dxfId="223" priority="413" operator="equal">
      <formula>"연"</formula>
    </cfRule>
    <cfRule type="cellIs" dxfId="222" priority="416" operator="equal">
      <formula>"연"</formula>
    </cfRule>
    <cfRule type="cellIs" dxfId="221" priority="417" operator="equal">
      <formula>"연"</formula>
    </cfRule>
  </conditionalFormatting>
  <conditionalFormatting sqref="AO9:AP9">
    <cfRule type="cellIs" dxfId="220" priority="487" operator="equal">
      <formula>"연"</formula>
    </cfRule>
    <cfRule type="cellIs" dxfId="219" priority="486" operator="equal">
      <formula>"연"</formula>
    </cfRule>
  </conditionalFormatting>
  <conditionalFormatting sqref="AO10:AP10">
    <cfRule type="cellIs" dxfId="218" priority="432" operator="equal">
      <formula>"연"</formula>
    </cfRule>
    <cfRule type="cellIs" dxfId="217" priority="404" operator="equal">
      <formula>"연"</formula>
    </cfRule>
    <cfRule type="cellIs" dxfId="216" priority="400" operator="equal">
      <formula>"연"</formula>
    </cfRule>
    <cfRule type="cellIs" dxfId="215" priority="401" operator="equal">
      <formula>"연"</formula>
    </cfRule>
    <cfRule type="cellIs" dxfId="214" priority="405" operator="equal">
      <formula>"연"</formula>
    </cfRule>
    <cfRule type="cellIs" dxfId="213" priority="424" operator="equal">
      <formula>"연"</formula>
    </cfRule>
    <cfRule type="cellIs" dxfId="212" priority="425" operator="equal">
      <formula>"연"</formula>
    </cfRule>
    <cfRule type="cellIs" dxfId="211" priority="436" operator="equal">
      <formula>"연"</formula>
    </cfRule>
    <cfRule type="cellIs" dxfId="210" priority="437" operator="equal">
      <formula>"연"</formula>
    </cfRule>
    <cfRule type="cellIs" dxfId="209" priority="433" operator="equal">
      <formula>"연"</formula>
    </cfRule>
  </conditionalFormatting>
  <conditionalFormatting sqref="AO6:AQ10">
    <cfRule type="cellIs" dxfId="208" priority="457" operator="equal">
      <formula>"연"</formula>
    </cfRule>
    <cfRule type="cellIs" dxfId="207" priority="456" operator="equal">
      <formula>"연"</formula>
    </cfRule>
  </conditionalFormatting>
  <conditionalFormatting sqref="AO6:AQ21">
    <cfRule type="cellIs" dxfId="206" priority="135" operator="equal">
      <formula>"야"</formula>
    </cfRule>
    <cfRule type="cellIs" dxfId="205" priority="136" operator="equal">
      <formula>"휴"</formula>
    </cfRule>
    <cfRule type="cellIs" dxfId="204" priority="124" operator="equal">
      <formula>"특"</formula>
    </cfRule>
  </conditionalFormatting>
  <conditionalFormatting sqref="AO9:AQ9">
    <cfRule type="cellIs" dxfId="203" priority="448" operator="equal">
      <formula>"연"</formula>
    </cfRule>
    <cfRule type="cellIs" dxfId="202" priority="449" operator="equal">
      <formula>"연"</formula>
    </cfRule>
    <cfRule type="cellIs" dxfId="201" priority="452" operator="equal">
      <formula>"연"</formula>
    </cfRule>
    <cfRule type="cellIs" dxfId="200" priority="453" operator="equal">
      <formula>"연"</formula>
    </cfRule>
    <cfRule type="cellIs" dxfId="199" priority="420" operator="equal">
      <formula>"연"</formula>
    </cfRule>
    <cfRule type="cellIs" dxfId="198" priority="421" operator="equal">
      <formula>"연"</formula>
    </cfRule>
    <cfRule type="cellIs" dxfId="197" priority="495" operator="equal">
      <formula>"연"</formula>
    </cfRule>
    <cfRule type="cellIs" dxfId="196" priority="494" operator="equal">
      <formula>"연"</formula>
    </cfRule>
  </conditionalFormatting>
  <conditionalFormatting sqref="AO9:AQ11">
    <cfRule type="cellIs" dxfId="195" priority="510" operator="equal">
      <formula>"연"</formula>
    </cfRule>
    <cfRule type="cellIs" dxfId="194" priority="511" operator="equal">
      <formula>"연"</formula>
    </cfRule>
  </conditionalFormatting>
  <conditionalFormatting sqref="AO10:AQ10">
    <cfRule type="cellIs" dxfId="193" priority="470" operator="equal">
      <formula>"연"</formula>
    </cfRule>
    <cfRule type="cellIs" dxfId="192" priority="469" operator="equal">
      <formula>"연"</formula>
    </cfRule>
    <cfRule type="cellIs" dxfId="191" priority="477" operator="equal">
      <formula>"연"</formula>
    </cfRule>
    <cfRule type="cellIs" dxfId="190" priority="478" operator="equal">
      <formula>"연"</formula>
    </cfRule>
  </conditionalFormatting>
  <conditionalFormatting sqref="AO10:AQ11">
    <cfRule type="cellIs" dxfId="189" priority="482" operator="equal">
      <formula>"연"</formula>
    </cfRule>
    <cfRule type="cellIs" dxfId="188" priority="481" operator="equal">
      <formula>"연"</formula>
    </cfRule>
  </conditionalFormatting>
  <conditionalFormatting sqref="AO12:AQ20">
    <cfRule type="cellIs" dxfId="187" priority="4" operator="equal">
      <formula>"연"</formula>
    </cfRule>
    <cfRule type="cellIs" dxfId="186" priority="3" operator="equal">
      <formula>"연"</formula>
    </cfRule>
  </conditionalFormatting>
  <conditionalFormatting sqref="AO21:AQ21">
    <cfRule type="cellIs" dxfId="185" priority="126" operator="equal">
      <formula>"연"</formula>
    </cfRule>
    <cfRule type="cellIs" dxfId="184" priority="125" operator="equal">
      <formula>"연"</formula>
    </cfRule>
  </conditionalFormatting>
  <conditionalFormatting sqref="AO12:AR14">
    <cfRule type="cellIs" dxfId="183" priority="38" operator="equal">
      <formula>"휴"</formula>
    </cfRule>
    <cfRule type="cellIs" dxfId="182" priority="37" operator="equal">
      <formula>"야"</formula>
    </cfRule>
    <cfRule type="cellIs" dxfId="181" priority="42" operator="equal">
      <formula>"연"</formula>
    </cfRule>
    <cfRule type="cellIs" dxfId="180" priority="41" operator="equal">
      <formula>"연"</formula>
    </cfRule>
  </conditionalFormatting>
  <conditionalFormatting sqref="AO18:AR20">
    <cfRule type="cellIs" dxfId="179" priority="5" operator="equal">
      <formula>"연"</formula>
    </cfRule>
    <cfRule type="cellIs" dxfId="178" priority="6" operator="equal">
      <formula>"연"</formula>
    </cfRule>
  </conditionalFormatting>
  <conditionalFormatting sqref="AO18:AR24">
    <cfRule type="cellIs" dxfId="177" priority="1" operator="equal">
      <formula>"야"</formula>
    </cfRule>
    <cfRule type="cellIs" dxfId="176" priority="2" operator="equal">
      <formula>"휴"</formula>
    </cfRule>
  </conditionalFormatting>
  <conditionalFormatting sqref="AO21:AR24">
    <cfRule type="cellIs" dxfId="175" priority="133" operator="equal">
      <formula>"연"</formula>
    </cfRule>
    <cfRule type="cellIs" dxfId="174" priority="134" operator="equal">
      <formula>"연"</formula>
    </cfRule>
  </conditionalFormatting>
  <conditionalFormatting sqref="AP9:AP11">
    <cfRule type="cellIs" dxfId="173" priority="383" operator="equal">
      <formula>"휴"</formula>
    </cfRule>
    <cfRule type="cellIs" dxfId="172" priority="382" operator="equal">
      <formula>"야"</formula>
    </cfRule>
  </conditionalFormatting>
  <conditionalFormatting sqref="AP11:AP14 AP18:AP21">
    <cfRule type="cellIs" dxfId="171" priority="121" operator="equal">
      <formula>"연"</formula>
    </cfRule>
    <cfRule type="cellIs" dxfId="170" priority="120" operator="equal">
      <formula>"연"</formula>
    </cfRule>
  </conditionalFormatting>
  <conditionalFormatting sqref="AP11:AQ11">
    <cfRule type="cellIs" dxfId="169" priority="385" operator="equal">
      <formula>"연"</formula>
    </cfRule>
    <cfRule type="cellIs" dxfId="168" priority="384" operator="equal">
      <formula>"연"</formula>
    </cfRule>
  </conditionalFormatting>
  <conditionalFormatting sqref="AQ9">
    <cfRule type="cellIs" dxfId="167" priority="444" operator="equal">
      <formula>"연"</formula>
    </cfRule>
    <cfRule type="cellIs" dxfId="166" priority="447" operator="equal">
      <formula>"휴"</formula>
    </cfRule>
    <cfRule type="cellIs" dxfId="165" priority="446" operator="equal">
      <formula>"야"</formula>
    </cfRule>
    <cfRule type="cellIs" dxfId="164" priority="445" operator="equal">
      <formula>"연"</formula>
    </cfRule>
  </conditionalFormatting>
  <conditionalFormatting sqref="AQ11">
    <cfRule type="cellIs" dxfId="163" priority="390" operator="equal">
      <formula>"야"</formula>
    </cfRule>
    <cfRule type="cellIs" dxfId="162" priority="397" operator="equal">
      <formula>"연"</formula>
    </cfRule>
    <cfRule type="cellIs" dxfId="161" priority="392" operator="equal">
      <formula>"연"</formula>
    </cfRule>
    <cfRule type="cellIs" dxfId="160" priority="391" operator="equal">
      <formula>"휴"</formula>
    </cfRule>
    <cfRule type="cellIs" dxfId="159" priority="393" operator="equal">
      <formula>"연"</formula>
    </cfRule>
    <cfRule type="cellIs" dxfId="158" priority="396" operator="equal">
      <formula>"연"</formula>
    </cfRule>
  </conditionalFormatting>
  <conditionalFormatting sqref="AR7:AR11">
    <cfRule type="cellIs" dxfId="157" priority="1286" operator="equal">
      <formula>"연"</formula>
    </cfRule>
    <cfRule type="cellIs" dxfId="156" priority="1289" operator="equal">
      <formula>"휴"</formula>
    </cfRule>
    <cfRule type="cellIs" dxfId="155" priority="1288" operator="equal">
      <formula>"야"</formula>
    </cfRule>
    <cfRule type="cellIs" dxfId="154" priority="1287" operator="equal">
      <formula>"연"</formula>
    </cfRule>
  </conditionalFormatting>
  <conditionalFormatting sqref="AT6:AT9">
    <cfRule type="cellIs" dxfId="153" priority="1285" operator="equal">
      <formula>"휴"</formula>
    </cfRule>
    <cfRule type="cellIs" dxfId="152" priority="1284" operator="equal">
      <formula>"야"</formula>
    </cfRule>
    <cfRule type="cellIs" dxfId="151" priority="1282" operator="equal">
      <formula>"연"</formula>
    </cfRule>
    <cfRule type="cellIs" dxfId="150" priority="1283" operator="equal">
      <formula>"연"</formula>
    </cfRule>
  </conditionalFormatting>
  <pageMargins left="0.7" right="0.7" top="0.75" bottom="0.75" header="0.3" footer="0.3"/>
  <pageSetup paperSize="9" orientation="landscape" useFirstPageNumber="1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2BD70-120F-4B8E-AC94-192C362B49F3}">
  <dimension ref="A1"/>
  <sheetViews>
    <sheetView workbookViewId="0"/>
  </sheetViews>
  <sheetFormatPr defaultRowHeight="16.5"/>
  <sheetData/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1778-604E-46CD-BF11-366D98574340}">
  <dimension ref="A1"/>
  <sheetViews>
    <sheetView workbookViewId="0"/>
  </sheetViews>
  <sheetFormatPr defaultRowHeight="16.5"/>
  <sheetData/>
  <phoneticPr fontId="1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23D6-C060-4094-91F2-9CF5364D41B9}">
  <dimension ref="A1"/>
  <sheetViews>
    <sheetView workbookViewId="0"/>
  </sheetViews>
  <sheetFormatPr defaultRowHeight="16.5"/>
  <sheetData/>
  <phoneticPr fontId="1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F183-D159-430A-90A9-32275232F975}">
  <sheetPr>
    <pageSetUpPr fitToPage="1"/>
  </sheetPr>
  <dimension ref="A1:V21"/>
  <sheetViews>
    <sheetView topLeftCell="A3"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149" priority="7" operator="equal">
      <formula>"연"</formula>
    </cfRule>
    <cfRule type="cellIs" dxfId="148" priority="8" operator="equal">
      <formula>"연"</formula>
    </cfRule>
    <cfRule type="cellIs" dxfId="147" priority="9" operator="equal">
      <formula>"야"</formula>
    </cfRule>
    <cfRule type="cellIs" dxfId="146" priority="10" operator="equal">
      <formula>"휴"</formula>
    </cfRule>
  </conditionalFormatting>
  <conditionalFormatting sqref="B10:Q10">
    <cfRule type="cellIs" dxfId="145" priority="1" operator="equal">
      <formula>"연"</formula>
    </cfRule>
  </conditionalFormatting>
  <conditionalFormatting sqref="B11:Q11">
    <cfRule type="cellIs" dxfId="144" priority="3" operator="equal">
      <formula>"연"</formula>
    </cfRule>
    <cfRule type="cellIs" dxfId="143" priority="4" operator="equal">
      <formula>"연"</formula>
    </cfRule>
    <cfRule type="cellIs" dxfId="142" priority="5" operator="equal">
      <formula>"야"</formula>
    </cfRule>
    <cfRule type="cellIs" dxfId="141" priority="6" operator="equal">
      <formula>"휴"</formula>
    </cfRule>
  </conditionalFormatting>
  <conditionalFormatting sqref="C5:Q5">
    <cfRule type="cellIs" dxfId="14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D7C31-2F65-43EF-8A92-745D183F52D9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139" priority="7" operator="equal">
      <formula>"연"</formula>
    </cfRule>
    <cfRule type="cellIs" dxfId="138" priority="8" operator="equal">
      <formula>"연"</formula>
    </cfRule>
    <cfRule type="cellIs" dxfId="137" priority="9" operator="equal">
      <formula>"야"</formula>
    </cfRule>
    <cfRule type="cellIs" dxfId="136" priority="10" operator="equal">
      <formula>"휴"</formula>
    </cfRule>
  </conditionalFormatting>
  <conditionalFormatting sqref="B10:Q10">
    <cfRule type="cellIs" dxfId="135" priority="1" operator="equal">
      <formula>"연"</formula>
    </cfRule>
  </conditionalFormatting>
  <conditionalFormatting sqref="B11:Q11">
    <cfRule type="cellIs" dxfId="134" priority="3" operator="equal">
      <formula>"연"</formula>
    </cfRule>
    <cfRule type="cellIs" dxfId="133" priority="4" operator="equal">
      <formula>"연"</formula>
    </cfRule>
    <cfRule type="cellIs" dxfId="132" priority="5" operator="equal">
      <formula>"야"</formula>
    </cfRule>
    <cfRule type="cellIs" dxfId="131" priority="6" operator="equal">
      <formula>"휴"</formula>
    </cfRule>
  </conditionalFormatting>
  <conditionalFormatting sqref="C5:Q5">
    <cfRule type="cellIs" dxfId="13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B546D-C090-4E28-8C66-91931AD52AB6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129" priority="7" operator="equal">
      <formula>"연"</formula>
    </cfRule>
    <cfRule type="cellIs" dxfId="128" priority="8" operator="equal">
      <formula>"연"</formula>
    </cfRule>
    <cfRule type="cellIs" dxfId="127" priority="9" operator="equal">
      <formula>"야"</formula>
    </cfRule>
    <cfRule type="cellIs" dxfId="126" priority="10" operator="equal">
      <formula>"휴"</formula>
    </cfRule>
  </conditionalFormatting>
  <conditionalFormatting sqref="B10:Q10">
    <cfRule type="cellIs" dxfId="125" priority="1" operator="equal">
      <formula>"연"</formula>
    </cfRule>
  </conditionalFormatting>
  <conditionalFormatting sqref="B11:Q11">
    <cfRule type="cellIs" dxfId="124" priority="3" operator="equal">
      <formula>"연"</formula>
    </cfRule>
    <cfRule type="cellIs" dxfId="123" priority="4" operator="equal">
      <formula>"연"</formula>
    </cfRule>
    <cfRule type="cellIs" dxfId="122" priority="5" operator="equal">
      <formula>"야"</formula>
    </cfRule>
    <cfRule type="cellIs" dxfId="121" priority="6" operator="equal">
      <formula>"휴"</formula>
    </cfRule>
  </conditionalFormatting>
  <conditionalFormatting sqref="C5:Q5">
    <cfRule type="cellIs" dxfId="12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59DA-6EE4-48E4-B228-D877F3C3179C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119" priority="7" operator="equal">
      <formula>"연"</formula>
    </cfRule>
    <cfRule type="cellIs" dxfId="118" priority="8" operator="equal">
      <formula>"연"</formula>
    </cfRule>
    <cfRule type="cellIs" dxfId="117" priority="9" operator="equal">
      <formula>"야"</formula>
    </cfRule>
    <cfRule type="cellIs" dxfId="116" priority="10" operator="equal">
      <formula>"휴"</formula>
    </cfRule>
  </conditionalFormatting>
  <conditionalFormatting sqref="B10:Q10">
    <cfRule type="cellIs" dxfId="115" priority="1" operator="equal">
      <formula>"연"</formula>
    </cfRule>
  </conditionalFormatting>
  <conditionalFormatting sqref="B11:Q11">
    <cfRule type="cellIs" dxfId="114" priority="3" operator="equal">
      <formula>"연"</formula>
    </cfRule>
    <cfRule type="cellIs" dxfId="113" priority="4" operator="equal">
      <formula>"연"</formula>
    </cfRule>
    <cfRule type="cellIs" dxfId="112" priority="5" operator="equal">
      <formula>"야"</formula>
    </cfRule>
    <cfRule type="cellIs" dxfId="111" priority="6" operator="equal">
      <formula>"휴"</formula>
    </cfRule>
  </conditionalFormatting>
  <conditionalFormatting sqref="C5:Q5">
    <cfRule type="cellIs" dxfId="11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1F31-9687-4248-8169-3ED852BFD94F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109" priority="7" operator="equal">
      <formula>"연"</formula>
    </cfRule>
    <cfRule type="cellIs" dxfId="108" priority="8" operator="equal">
      <formula>"연"</formula>
    </cfRule>
    <cfRule type="cellIs" dxfId="107" priority="9" operator="equal">
      <formula>"야"</formula>
    </cfRule>
    <cfRule type="cellIs" dxfId="106" priority="10" operator="equal">
      <formula>"휴"</formula>
    </cfRule>
  </conditionalFormatting>
  <conditionalFormatting sqref="B10:Q10">
    <cfRule type="cellIs" dxfId="105" priority="1" operator="equal">
      <formula>"연"</formula>
    </cfRule>
  </conditionalFormatting>
  <conditionalFormatting sqref="B11:Q11">
    <cfRule type="cellIs" dxfId="104" priority="3" operator="equal">
      <formula>"연"</formula>
    </cfRule>
    <cfRule type="cellIs" dxfId="103" priority="4" operator="equal">
      <formula>"연"</formula>
    </cfRule>
    <cfRule type="cellIs" dxfId="102" priority="5" operator="equal">
      <formula>"야"</formula>
    </cfRule>
    <cfRule type="cellIs" dxfId="101" priority="6" operator="equal">
      <formula>"휴"</formula>
    </cfRule>
  </conditionalFormatting>
  <conditionalFormatting sqref="C5:Q5">
    <cfRule type="cellIs" dxfId="10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8D6FA-C88D-4B36-9172-198EF9A0E6C5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99" priority="7" operator="equal">
      <formula>"연"</formula>
    </cfRule>
    <cfRule type="cellIs" dxfId="98" priority="8" operator="equal">
      <formula>"연"</formula>
    </cfRule>
    <cfRule type="cellIs" dxfId="97" priority="9" operator="equal">
      <formula>"야"</formula>
    </cfRule>
    <cfRule type="cellIs" dxfId="96" priority="10" operator="equal">
      <formula>"휴"</formula>
    </cfRule>
  </conditionalFormatting>
  <conditionalFormatting sqref="B10:Q10">
    <cfRule type="cellIs" dxfId="95" priority="1" operator="equal">
      <formula>"연"</formula>
    </cfRule>
  </conditionalFormatting>
  <conditionalFormatting sqref="B11:Q11">
    <cfRule type="cellIs" dxfId="94" priority="3" operator="equal">
      <formula>"연"</formula>
    </cfRule>
    <cfRule type="cellIs" dxfId="93" priority="4" operator="equal">
      <formula>"연"</formula>
    </cfRule>
    <cfRule type="cellIs" dxfId="92" priority="5" operator="equal">
      <formula>"야"</formula>
    </cfRule>
    <cfRule type="cellIs" dxfId="91" priority="6" operator="equal">
      <formula>"휴"</formula>
    </cfRule>
  </conditionalFormatting>
  <conditionalFormatting sqref="C5:Q5">
    <cfRule type="cellIs" dxfId="9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08E0-2EF0-42E4-A567-2DF4B93ED393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89" priority="7" operator="equal">
      <formula>"연"</formula>
    </cfRule>
    <cfRule type="cellIs" dxfId="88" priority="8" operator="equal">
      <formula>"연"</formula>
    </cfRule>
    <cfRule type="cellIs" dxfId="87" priority="9" operator="equal">
      <formula>"야"</formula>
    </cfRule>
    <cfRule type="cellIs" dxfId="86" priority="10" operator="equal">
      <formula>"휴"</formula>
    </cfRule>
  </conditionalFormatting>
  <conditionalFormatting sqref="B10:Q10">
    <cfRule type="cellIs" dxfId="85" priority="1" operator="equal">
      <formula>"연"</formula>
    </cfRule>
  </conditionalFormatting>
  <conditionalFormatting sqref="B11:Q11">
    <cfRule type="cellIs" dxfId="84" priority="3" operator="equal">
      <formula>"연"</formula>
    </cfRule>
    <cfRule type="cellIs" dxfId="83" priority="4" operator="equal">
      <formula>"연"</formula>
    </cfRule>
    <cfRule type="cellIs" dxfId="82" priority="5" operator="equal">
      <formula>"야"</formula>
    </cfRule>
    <cfRule type="cellIs" dxfId="81" priority="6" operator="equal">
      <formula>"휴"</formula>
    </cfRule>
  </conditionalFormatting>
  <conditionalFormatting sqref="C5:Q5">
    <cfRule type="cellIs" dxfId="8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551B-1708-42C5-A1DB-77A8F664C2EE}">
  <sheetPr>
    <pageSetUpPr fitToPage="1"/>
  </sheetPr>
  <dimension ref="A1:V21"/>
  <sheetViews>
    <sheetView topLeftCell="A3"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79" priority="7" operator="equal">
      <formula>"연"</formula>
    </cfRule>
    <cfRule type="cellIs" dxfId="78" priority="8" operator="equal">
      <formula>"연"</formula>
    </cfRule>
    <cfRule type="cellIs" dxfId="77" priority="9" operator="equal">
      <formula>"야"</formula>
    </cfRule>
    <cfRule type="cellIs" dxfId="76" priority="10" operator="equal">
      <formula>"휴"</formula>
    </cfRule>
  </conditionalFormatting>
  <conditionalFormatting sqref="B10:Q10">
    <cfRule type="cellIs" dxfId="75" priority="1" operator="equal">
      <formula>"연"</formula>
    </cfRule>
  </conditionalFormatting>
  <conditionalFormatting sqref="B11:Q11">
    <cfRule type="cellIs" dxfId="74" priority="3" operator="equal">
      <formula>"연"</formula>
    </cfRule>
    <cfRule type="cellIs" dxfId="73" priority="4" operator="equal">
      <formula>"연"</formula>
    </cfRule>
    <cfRule type="cellIs" dxfId="72" priority="5" operator="equal">
      <formula>"야"</formula>
    </cfRule>
    <cfRule type="cellIs" dxfId="71" priority="6" operator="equal">
      <formula>"휴"</formula>
    </cfRule>
  </conditionalFormatting>
  <conditionalFormatting sqref="C5:Q5">
    <cfRule type="cellIs" dxfId="7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8A7D-6972-4ABE-8C92-7F7E2BBC2D3D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69" priority="7" operator="equal">
      <formula>"연"</formula>
    </cfRule>
    <cfRule type="cellIs" dxfId="68" priority="8" operator="equal">
      <formula>"연"</formula>
    </cfRule>
    <cfRule type="cellIs" dxfId="67" priority="9" operator="equal">
      <formula>"야"</formula>
    </cfRule>
    <cfRule type="cellIs" dxfId="66" priority="10" operator="equal">
      <formula>"휴"</formula>
    </cfRule>
  </conditionalFormatting>
  <conditionalFormatting sqref="B10:Q10">
    <cfRule type="cellIs" dxfId="65" priority="1" operator="equal">
      <formula>"연"</formula>
    </cfRule>
  </conditionalFormatting>
  <conditionalFormatting sqref="B11:Q11">
    <cfRule type="cellIs" dxfId="64" priority="3" operator="equal">
      <formula>"연"</formula>
    </cfRule>
    <cfRule type="cellIs" dxfId="63" priority="4" operator="equal">
      <formula>"연"</formula>
    </cfRule>
    <cfRule type="cellIs" dxfId="62" priority="5" operator="equal">
      <formula>"야"</formula>
    </cfRule>
    <cfRule type="cellIs" dxfId="61" priority="6" operator="equal">
      <formula>"휴"</formula>
    </cfRule>
  </conditionalFormatting>
  <conditionalFormatting sqref="C5:Q5">
    <cfRule type="cellIs" dxfId="6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AB5EA-9485-42EE-9C93-6F367E4FF58D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59" priority="7" operator="equal">
      <formula>"연"</formula>
    </cfRule>
    <cfRule type="cellIs" dxfId="58" priority="8" operator="equal">
      <formula>"연"</formula>
    </cfRule>
    <cfRule type="cellIs" dxfId="57" priority="9" operator="equal">
      <formula>"야"</formula>
    </cfRule>
    <cfRule type="cellIs" dxfId="56" priority="10" operator="equal">
      <formula>"휴"</formula>
    </cfRule>
  </conditionalFormatting>
  <conditionalFormatting sqref="B10:Q10">
    <cfRule type="cellIs" dxfId="55" priority="1" operator="equal">
      <formula>"연"</formula>
    </cfRule>
  </conditionalFormatting>
  <conditionalFormatting sqref="B11:Q11">
    <cfRule type="cellIs" dxfId="54" priority="3" operator="equal">
      <formula>"연"</formula>
    </cfRule>
    <cfRule type="cellIs" dxfId="53" priority="4" operator="equal">
      <formula>"연"</formula>
    </cfRule>
    <cfRule type="cellIs" dxfId="52" priority="5" operator="equal">
      <formula>"야"</formula>
    </cfRule>
    <cfRule type="cellIs" dxfId="51" priority="6" operator="equal">
      <formula>"휴"</formula>
    </cfRule>
  </conditionalFormatting>
  <conditionalFormatting sqref="C5:Q5">
    <cfRule type="cellIs" dxfId="5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C28D-369B-4D17-AB52-E1B67E0155BA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A16:B17"/>
    <mergeCell ref="C16:G17"/>
    <mergeCell ref="H16:N17"/>
    <mergeCell ref="O16:R16"/>
    <mergeCell ref="S16:T17"/>
    <mergeCell ref="O17:P17"/>
    <mergeCell ref="Q17:R17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</mergeCells>
  <phoneticPr fontId="19" type="noConversion"/>
  <conditionalFormatting sqref="B6:Q6">
    <cfRule type="cellIs" dxfId="49" priority="7" operator="equal">
      <formula>"연"</formula>
    </cfRule>
    <cfRule type="cellIs" dxfId="48" priority="8" operator="equal">
      <formula>"연"</formula>
    </cfRule>
    <cfRule type="cellIs" dxfId="47" priority="9" operator="equal">
      <formula>"야"</formula>
    </cfRule>
    <cfRule type="cellIs" dxfId="46" priority="10" operator="equal">
      <formula>"휴"</formula>
    </cfRule>
  </conditionalFormatting>
  <conditionalFormatting sqref="B10:Q10">
    <cfRule type="cellIs" dxfId="45" priority="1" operator="equal">
      <formula>"연"</formula>
    </cfRule>
  </conditionalFormatting>
  <conditionalFormatting sqref="B11:Q11">
    <cfRule type="cellIs" dxfId="44" priority="3" operator="equal">
      <formula>"연"</formula>
    </cfRule>
    <cfRule type="cellIs" dxfId="43" priority="4" operator="equal">
      <formula>"연"</formula>
    </cfRule>
    <cfRule type="cellIs" dxfId="42" priority="5" operator="equal">
      <formula>"야"</formula>
    </cfRule>
    <cfRule type="cellIs" dxfId="41" priority="6" operator="equal">
      <formula>"휴"</formula>
    </cfRule>
  </conditionalFormatting>
  <conditionalFormatting sqref="C5:Q5">
    <cfRule type="cellIs" dxfId="4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461F-D231-4EB3-9B63-A6635D9DBB4B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9:S9"/>
    <mergeCell ref="L13:L14"/>
    <mergeCell ref="M13:M14"/>
    <mergeCell ref="R10:S10"/>
    <mergeCell ref="S11:T11"/>
    <mergeCell ref="S12:T12"/>
    <mergeCell ref="N13:N14"/>
    <mergeCell ref="O13:O14"/>
    <mergeCell ref="P13:P14"/>
    <mergeCell ref="Q13:Q14"/>
    <mergeCell ref="S13:T13"/>
    <mergeCell ref="R4:S4"/>
    <mergeCell ref="R5:S5"/>
    <mergeCell ref="R6:S6"/>
    <mergeCell ref="R7:S7"/>
    <mergeCell ref="R8:T8"/>
    <mergeCell ref="A15:T15"/>
    <mergeCell ref="H13:H14"/>
    <mergeCell ref="I13:I14"/>
    <mergeCell ref="J13:J14"/>
    <mergeCell ref="K13:K14"/>
    <mergeCell ref="A13:A14"/>
    <mergeCell ref="B13:B14"/>
    <mergeCell ref="C13:C14"/>
    <mergeCell ref="D13:D14"/>
    <mergeCell ref="E13:E14"/>
    <mergeCell ref="F13:F14"/>
    <mergeCell ref="G13:G14"/>
    <mergeCell ref="A16:B17"/>
    <mergeCell ref="C16:G17"/>
    <mergeCell ref="H16:N17"/>
    <mergeCell ref="O16:R16"/>
    <mergeCell ref="S16:T17"/>
    <mergeCell ref="O17:P17"/>
    <mergeCell ref="Q17:R17"/>
    <mergeCell ref="S18:T18"/>
    <mergeCell ref="A19:B19"/>
    <mergeCell ref="C19:G19"/>
    <mergeCell ref="H19:N19"/>
    <mergeCell ref="O19:P19"/>
    <mergeCell ref="Q19:R19"/>
    <mergeCell ref="S19:T19"/>
    <mergeCell ref="A18:B18"/>
    <mergeCell ref="C18:G18"/>
    <mergeCell ref="H18:N18"/>
    <mergeCell ref="O18:P18"/>
    <mergeCell ref="Q18:R18"/>
    <mergeCell ref="S20:T20"/>
    <mergeCell ref="A21:B21"/>
    <mergeCell ref="C21:G21"/>
    <mergeCell ref="H21:N21"/>
    <mergeCell ref="O21:P21"/>
    <mergeCell ref="Q21:R21"/>
    <mergeCell ref="S21:T21"/>
    <mergeCell ref="A20:B20"/>
    <mergeCell ref="C20:G20"/>
    <mergeCell ref="H20:N20"/>
    <mergeCell ref="O20:P20"/>
    <mergeCell ref="Q20:R20"/>
  </mergeCells>
  <phoneticPr fontId="19" type="noConversion"/>
  <conditionalFormatting sqref="B6:Q6">
    <cfRule type="cellIs" dxfId="39" priority="7" operator="equal">
      <formula>"연"</formula>
    </cfRule>
    <cfRule type="cellIs" dxfId="38" priority="8" operator="equal">
      <formula>"연"</formula>
    </cfRule>
    <cfRule type="cellIs" dxfId="37" priority="9" operator="equal">
      <formula>"야"</formula>
    </cfRule>
    <cfRule type="cellIs" dxfId="36" priority="10" operator="equal">
      <formula>"휴"</formula>
    </cfRule>
  </conditionalFormatting>
  <conditionalFormatting sqref="B10:Q10">
    <cfRule type="cellIs" dxfId="35" priority="1" operator="equal">
      <formula>"연"</formula>
    </cfRule>
  </conditionalFormatting>
  <conditionalFormatting sqref="B11:Q11">
    <cfRule type="cellIs" dxfId="34" priority="3" operator="equal">
      <formula>"연"</formula>
    </cfRule>
    <cfRule type="cellIs" dxfId="33" priority="4" operator="equal">
      <formula>"연"</formula>
    </cfRule>
    <cfRule type="cellIs" dxfId="32" priority="5" operator="equal">
      <formula>"야"</formula>
    </cfRule>
    <cfRule type="cellIs" dxfId="31" priority="6" operator="equal">
      <formula>"휴"</formula>
    </cfRule>
  </conditionalFormatting>
  <conditionalFormatting sqref="C5:Q5">
    <cfRule type="cellIs" dxfId="3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2405-3AF8-4AEB-BA29-59DE62040655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29" priority="7" operator="equal">
      <formula>"연"</formula>
    </cfRule>
    <cfRule type="cellIs" dxfId="28" priority="8" operator="equal">
      <formula>"연"</formula>
    </cfRule>
    <cfRule type="cellIs" dxfId="27" priority="9" operator="equal">
      <formula>"야"</formula>
    </cfRule>
    <cfRule type="cellIs" dxfId="26" priority="10" operator="equal">
      <formula>"휴"</formula>
    </cfRule>
  </conditionalFormatting>
  <conditionalFormatting sqref="B10:Q10">
    <cfRule type="cellIs" dxfId="25" priority="1" operator="equal">
      <formula>"연"</formula>
    </cfRule>
  </conditionalFormatting>
  <conditionalFormatting sqref="B11:Q11">
    <cfRule type="cellIs" dxfId="24" priority="3" operator="equal">
      <formula>"연"</formula>
    </cfRule>
    <cfRule type="cellIs" dxfId="23" priority="4" operator="equal">
      <formula>"연"</formula>
    </cfRule>
    <cfRule type="cellIs" dxfId="22" priority="5" operator="equal">
      <formula>"야"</formula>
    </cfRule>
    <cfRule type="cellIs" dxfId="21" priority="6" operator="equal">
      <formula>"휴"</formula>
    </cfRule>
  </conditionalFormatting>
  <conditionalFormatting sqref="C5:Q5">
    <cfRule type="cellIs" dxfId="2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38B32-F1F4-43E2-9C74-0584094B6119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19" priority="7" operator="equal">
      <formula>"연"</formula>
    </cfRule>
    <cfRule type="cellIs" dxfId="18" priority="8" operator="equal">
      <formula>"연"</formula>
    </cfRule>
    <cfRule type="cellIs" dxfId="17" priority="9" operator="equal">
      <formula>"야"</formula>
    </cfRule>
    <cfRule type="cellIs" dxfId="16" priority="10" operator="equal">
      <formula>"휴"</formula>
    </cfRule>
  </conditionalFormatting>
  <conditionalFormatting sqref="B10:Q10">
    <cfRule type="cellIs" dxfId="15" priority="1" operator="equal">
      <formula>"연"</formula>
    </cfRule>
  </conditionalFormatting>
  <conditionalFormatting sqref="B11:Q11">
    <cfRule type="cellIs" dxfId="14" priority="3" operator="equal">
      <formula>"연"</formula>
    </cfRule>
    <cfRule type="cellIs" dxfId="13" priority="4" operator="equal">
      <formula>"연"</formula>
    </cfRule>
    <cfRule type="cellIs" dxfId="12" priority="5" operator="equal">
      <formula>"야"</formula>
    </cfRule>
    <cfRule type="cellIs" dxfId="11" priority="6" operator="equal">
      <formula>"휴"</formula>
    </cfRule>
  </conditionalFormatting>
  <conditionalFormatting sqref="C5:Q5">
    <cfRule type="cellIs" dxfId="1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4DB2B-8738-4EAD-854D-04181A4F9D96}">
  <sheetPr>
    <pageSetUpPr fitToPage="1"/>
  </sheetPr>
  <dimension ref="A1:V21"/>
  <sheetViews>
    <sheetView zoomScaleNormal="100" zoomScaleSheetLayoutView="75" workbookViewId="0">
      <selection activeCell="R8" sqref="R8:T8"/>
    </sheetView>
  </sheetViews>
  <sheetFormatPr defaultColWidth="8.625" defaultRowHeight="13.5"/>
  <cols>
    <col min="1" max="1" width="6.25" style="54" customWidth="1"/>
    <col min="2" max="17" width="5.625" style="54" customWidth="1"/>
    <col min="18" max="18" width="8" style="54" bestFit="1" customWidth="1"/>
    <col min="19" max="19" width="9" style="54" customWidth="1"/>
    <col min="20" max="20" width="6.375" style="54" customWidth="1"/>
    <col min="21" max="256" width="8.625" style="54"/>
    <col min="257" max="257" width="6.75" style="54" customWidth="1"/>
    <col min="258" max="273" width="6" style="54" customWidth="1"/>
    <col min="274" max="274" width="8" style="54" customWidth="1"/>
    <col min="275" max="276" width="7.5" style="54" customWidth="1"/>
    <col min="277" max="512" width="8.625" style="54"/>
    <col min="513" max="513" width="6.75" style="54" customWidth="1"/>
    <col min="514" max="529" width="6" style="54" customWidth="1"/>
    <col min="530" max="530" width="8" style="54" customWidth="1"/>
    <col min="531" max="532" width="7.5" style="54" customWidth="1"/>
    <col min="533" max="768" width="8.625" style="54"/>
    <col min="769" max="769" width="6.75" style="54" customWidth="1"/>
    <col min="770" max="785" width="6" style="54" customWidth="1"/>
    <col min="786" max="786" width="8" style="54" customWidth="1"/>
    <col min="787" max="788" width="7.5" style="54" customWidth="1"/>
    <col min="789" max="1024" width="8.625" style="54"/>
    <col min="1025" max="1025" width="6.75" style="54" customWidth="1"/>
    <col min="1026" max="1041" width="6" style="54" customWidth="1"/>
    <col min="1042" max="1042" width="8" style="54" customWidth="1"/>
    <col min="1043" max="1044" width="7.5" style="54" customWidth="1"/>
    <col min="1045" max="1280" width="8.625" style="54"/>
    <col min="1281" max="1281" width="6.75" style="54" customWidth="1"/>
    <col min="1282" max="1297" width="6" style="54" customWidth="1"/>
    <col min="1298" max="1298" width="8" style="54" customWidth="1"/>
    <col min="1299" max="1300" width="7.5" style="54" customWidth="1"/>
    <col min="1301" max="1536" width="8.625" style="54"/>
    <col min="1537" max="1537" width="6.75" style="54" customWidth="1"/>
    <col min="1538" max="1553" width="6" style="54" customWidth="1"/>
    <col min="1554" max="1554" width="8" style="54" customWidth="1"/>
    <col min="1555" max="1556" width="7.5" style="54" customWidth="1"/>
    <col min="1557" max="1792" width="8.625" style="54"/>
    <col min="1793" max="1793" width="6.75" style="54" customWidth="1"/>
    <col min="1794" max="1809" width="6" style="54" customWidth="1"/>
    <col min="1810" max="1810" width="8" style="54" customWidth="1"/>
    <col min="1811" max="1812" width="7.5" style="54" customWidth="1"/>
    <col min="1813" max="2048" width="8.625" style="54"/>
    <col min="2049" max="2049" width="6.75" style="54" customWidth="1"/>
    <col min="2050" max="2065" width="6" style="54" customWidth="1"/>
    <col min="2066" max="2066" width="8" style="54" customWidth="1"/>
    <col min="2067" max="2068" width="7.5" style="54" customWidth="1"/>
    <col min="2069" max="2304" width="8.625" style="54"/>
    <col min="2305" max="2305" width="6.75" style="54" customWidth="1"/>
    <col min="2306" max="2321" width="6" style="54" customWidth="1"/>
    <col min="2322" max="2322" width="8" style="54" customWidth="1"/>
    <col min="2323" max="2324" width="7.5" style="54" customWidth="1"/>
    <col min="2325" max="2560" width="8.625" style="54"/>
    <col min="2561" max="2561" width="6.75" style="54" customWidth="1"/>
    <col min="2562" max="2577" width="6" style="54" customWidth="1"/>
    <col min="2578" max="2578" width="8" style="54" customWidth="1"/>
    <col min="2579" max="2580" width="7.5" style="54" customWidth="1"/>
    <col min="2581" max="2816" width="8.625" style="54"/>
    <col min="2817" max="2817" width="6.75" style="54" customWidth="1"/>
    <col min="2818" max="2833" width="6" style="54" customWidth="1"/>
    <col min="2834" max="2834" width="8" style="54" customWidth="1"/>
    <col min="2835" max="2836" width="7.5" style="54" customWidth="1"/>
    <col min="2837" max="3072" width="8.625" style="54"/>
    <col min="3073" max="3073" width="6.75" style="54" customWidth="1"/>
    <col min="3074" max="3089" width="6" style="54" customWidth="1"/>
    <col min="3090" max="3090" width="8" style="54" customWidth="1"/>
    <col min="3091" max="3092" width="7.5" style="54" customWidth="1"/>
    <col min="3093" max="3328" width="8.625" style="54"/>
    <col min="3329" max="3329" width="6.75" style="54" customWidth="1"/>
    <col min="3330" max="3345" width="6" style="54" customWidth="1"/>
    <col min="3346" max="3346" width="8" style="54" customWidth="1"/>
    <col min="3347" max="3348" width="7.5" style="54" customWidth="1"/>
    <col min="3349" max="3584" width="8.625" style="54"/>
    <col min="3585" max="3585" width="6.75" style="54" customWidth="1"/>
    <col min="3586" max="3601" width="6" style="54" customWidth="1"/>
    <col min="3602" max="3602" width="8" style="54" customWidth="1"/>
    <col min="3603" max="3604" width="7.5" style="54" customWidth="1"/>
    <col min="3605" max="3840" width="8.625" style="54"/>
    <col min="3841" max="3841" width="6.75" style="54" customWidth="1"/>
    <col min="3842" max="3857" width="6" style="54" customWidth="1"/>
    <col min="3858" max="3858" width="8" style="54" customWidth="1"/>
    <col min="3859" max="3860" width="7.5" style="54" customWidth="1"/>
    <col min="3861" max="4096" width="8.625" style="54"/>
    <col min="4097" max="4097" width="6.75" style="54" customWidth="1"/>
    <col min="4098" max="4113" width="6" style="54" customWidth="1"/>
    <col min="4114" max="4114" width="8" style="54" customWidth="1"/>
    <col min="4115" max="4116" width="7.5" style="54" customWidth="1"/>
    <col min="4117" max="4352" width="8.625" style="54"/>
    <col min="4353" max="4353" width="6.75" style="54" customWidth="1"/>
    <col min="4354" max="4369" width="6" style="54" customWidth="1"/>
    <col min="4370" max="4370" width="8" style="54" customWidth="1"/>
    <col min="4371" max="4372" width="7.5" style="54" customWidth="1"/>
    <col min="4373" max="4608" width="8.625" style="54"/>
    <col min="4609" max="4609" width="6.75" style="54" customWidth="1"/>
    <col min="4610" max="4625" width="6" style="54" customWidth="1"/>
    <col min="4626" max="4626" width="8" style="54" customWidth="1"/>
    <col min="4627" max="4628" width="7.5" style="54" customWidth="1"/>
    <col min="4629" max="4864" width="8.625" style="54"/>
    <col min="4865" max="4865" width="6.75" style="54" customWidth="1"/>
    <col min="4866" max="4881" width="6" style="54" customWidth="1"/>
    <col min="4882" max="4882" width="8" style="54" customWidth="1"/>
    <col min="4883" max="4884" width="7.5" style="54" customWidth="1"/>
    <col min="4885" max="5120" width="8.625" style="54"/>
    <col min="5121" max="5121" width="6.75" style="54" customWidth="1"/>
    <col min="5122" max="5137" width="6" style="54" customWidth="1"/>
    <col min="5138" max="5138" width="8" style="54" customWidth="1"/>
    <col min="5139" max="5140" width="7.5" style="54" customWidth="1"/>
    <col min="5141" max="5376" width="8.625" style="54"/>
    <col min="5377" max="5377" width="6.75" style="54" customWidth="1"/>
    <col min="5378" max="5393" width="6" style="54" customWidth="1"/>
    <col min="5394" max="5394" width="8" style="54" customWidth="1"/>
    <col min="5395" max="5396" width="7.5" style="54" customWidth="1"/>
    <col min="5397" max="5632" width="8.625" style="54"/>
    <col min="5633" max="5633" width="6.75" style="54" customWidth="1"/>
    <col min="5634" max="5649" width="6" style="54" customWidth="1"/>
    <col min="5650" max="5650" width="8" style="54" customWidth="1"/>
    <col min="5651" max="5652" width="7.5" style="54" customWidth="1"/>
    <col min="5653" max="5888" width="8.625" style="54"/>
    <col min="5889" max="5889" width="6.75" style="54" customWidth="1"/>
    <col min="5890" max="5905" width="6" style="54" customWidth="1"/>
    <col min="5906" max="5906" width="8" style="54" customWidth="1"/>
    <col min="5907" max="5908" width="7.5" style="54" customWidth="1"/>
    <col min="5909" max="6144" width="8.625" style="54"/>
    <col min="6145" max="6145" width="6.75" style="54" customWidth="1"/>
    <col min="6146" max="6161" width="6" style="54" customWidth="1"/>
    <col min="6162" max="6162" width="8" style="54" customWidth="1"/>
    <col min="6163" max="6164" width="7.5" style="54" customWidth="1"/>
    <col min="6165" max="6400" width="8.625" style="54"/>
    <col min="6401" max="6401" width="6.75" style="54" customWidth="1"/>
    <col min="6402" max="6417" width="6" style="54" customWidth="1"/>
    <col min="6418" max="6418" width="8" style="54" customWidth="1"/>
    <col min="6419" max="6420" width="7.5" style="54" customWidth="1"/>
    <col min="6421" max="6656" width="8.625" style="54"/>
    <col min="6657" max="6657" width="6.75" style="54" customWidth="1"/>
    <col min="6658" max="6673" width="6" style="54" customWidth="1"/>
    <col min="6674" max="6674" width="8" style="54" customWidth="1"/>
    <col min="6675" max="6676" width="7.5" style="54" customWidth="1"/>
    <col min="6677" max="6912" width="8.625" style="54"/>
    <col min="6913" max="6913" width="6.75" style="54" customWidth="1"/>
    <col min="6914" max="6929" width="6" style="54" customWidth="1"/>
    <col min="6930" max="6930" width="8" style="54" customWidth="1"/>
    <col min="6931" max="6932" width="7.5" style="54" customWidth="1"/>
    <col min="6933" max="7168" width="8.625" style="54"/>
    <col min="7169" max="7169" width="6.75" style="54" customWidth="1"/>
    <col min="7170" max="7185" width="6" style="54" customWidth="1"/>
    <col min="7186" max="7186" width="8" style="54" customWidth="1"/>
    <col min="7187" max="7188" width="7.5" style="54" customWidth="1"/>
    <col min="7189" max="7424" width="8.625" style="54"/>
    <col min="7425" max="7425" width="6.75" style="54" customWidth="1"/>
    <col min="7426" max="7441" width="6" style="54" customWidth="1"/>
    <col min="7442" max="7442" width="8" style="54" customWidth="1"/>
    <col min="7443" max="7444" width="7.5" style="54" customWidth="1"/>
    <col min="7445" max="7680" width="8.625" style="54"/>
    <col min="7681" max="7681" width="6.75" style="54" customWidth="1"/>
    <col min="7682" max="7697" width="6" style="54" customWidth="1"/>
    <col min="7698" max="7698" width="8" style="54" customWidth="1"/>
    <col min="7699" max="7700" width="7.5" style="54" customWidth="1"/>
    <col min="7701" max="7936" width="8.625" style="54"/>
    <col min="7937" max="7937" width="6.75" style="54" customWidth="1"/>
    <col min="7938" max="7953" width="6" style="54" customWidth="1"/>
    <col min="7954" max="7954" width="8" style="54" customWidth="1"/>
    <col min="7955" max="7956" width="7.5" style="54" customWidth="1"/>
    <col min="7957" max="8192" width="8.625" style="54"/>
    <col min="8193" max="8193" width="6.75" style="54" customWidth="1"/>
    <col min="8194" max="8209" width="6" style="54" customWidth="1"/>
    <col min="8210" max="8210" width="8" style="54" customWidth="1"/>
    <col min="8211" max="8212" width="7.5" style="54" customWidth="1"/>
    <col min="8213" max="8448" width="8.625" style="54"/>
    <col min="8449" max="8449" width="6.75" style="54" customWidth="1"/>
    <col min="8450" max="8465" width="6" style="54" customWidth="1"/>
    <col min="8466" max="8466" width="8" style="54" customWidth="1"/>
    <col min="8467" max="8468" width="7.5" style="54" customWidth="1"/>
    <col min="8469" max="8704" width="8.625" style="54"/>
    <col min="8705" max="8705" width="6.75" style="54" customWidth="1"/>
    <col min="8706" max="8721" width="6" style="54" customWidth="1"/>
    <col min="8722" max="8722" width="8" style="54" customWidth="1"/>
    <col min="8723" max="8724" width="7.5" style="54" customWidth="1"/>
    <col min="8725" max="8960" width="8.625" style="54"/>
    <col min="8961" max="8961" width="6.75" style="54" customWidth="1"/>
    <col min="8962" max="8977" width="6" style="54" customWidth="1"/>
    <col min="8978" max="8978" width="8" style="54" customWidth="1"/>
    <col min="8979" max="8980" width="7.5" style="54" customWidth="1"/>
    <col min="8981" max="9216" width="8.625" style="54"/>
    <col min="9217" max="9217" width="6.75" style="54" customWidth="1"/>
    <col min="9218" max="9233" width="6" style="54" customWidth="1"/>
    <col min="9234" max="9234" width="8" style="54" customWidth="1"/>
    <col min="9235" max="9236" width="7.5" style="54" customWidth="1"/>
    <col min="9237" max="9472" width="8.625" style="54"/>
    <col min="9473" max="9473" width="6.75" style="54" customWidth="1"/>
    <col min="9474" max="9489" width="6" style="54" customWidth="1"/>
    <col min="9490" max="9490" width="8" style="54" customWidth="1"/>
    <col min="9491" max="9492" width="7.5" style="54" customWidth="1"/>
    <col min="9493" max="9728" width="8.625" style="54"/>
    <col min="9729" max="9729" width="6.75" style="54" customWidth="1"/>
    <col min="9730" max="9745" width="6" style="54" customWidth="1"/>
    <col min="9746" max="9746" width="8" style="54" customWidth="1"/>
    <col min="9747" max="9748" width="7.5" style="54" customWidth="1"/>
    <col min="9749" max="9984" width="8.625" style="54"/>
    <col min="9985" max="9985" width="6.75" style="54" customWidth="1"/>
    <col min="9986" max="10001" width="6" style="54" customWidth="1"/>
    <col min="10002" max="10002" width="8" style="54" customWidth="1"/>
    <col min="10003" max="10004" width="7.5" style="54" customWidth="1"/>
    <col min="10005" max="10240" width="8.625" style="54"/>
    <col min="10241" max="10241" width="6.75" style="54" customWidth="1"/>
    <col min="10242" max="10257" width="6" style="54" customWidth="1"/>
    <col min="10258" max="10258" width="8" style="54" customWidth="1"/>
    <col min="10259" max="10260" width="7.5" style="54" customWidth="1"/>
    <col min="10261" max="10496" width="8.625" style="54"/>
    <col min="10497" max="10497" width="6.75" style="54" customWidth="1"/>
    <col min="10498" max="10513" width="6" style="54" customWidth="1"/>
    <col min="10514" max="10514" width="8" style="54" customWidth="1"/>
    <col min="10515" max="10516" width="7.5" style="54" customWidth="1"/>
    <col min="10517" max="10752" width="8.625" style="54"/>
    <col min="10753" max="10753" width="6.75" style="54" customWidth="1"/>
    <col min="10754" max="10769" width="6" style="54" customWidth="1"/>
    <col min="10770" max="10770" width="8" style="54" customWidth="1"/>
    <col min="10771" max="10772" width="7.5" style="54" customWidth="1"/>
    <col min="10773" max="11008" width="8.625" style="54"/>
    <col min="11009" max="11009" width="6.75" style="54" customWidth="1"/>
    <col min="11010" max="11025" width="6" style="54" customWidth="1"/>
    <col min="11026" max="11026" width="8" style="54" customWidth="1"/>
    <col min="11027" max="11028" width="7.5" style="54" customWidth="1"/>
    <col min="11029" max="11264" width="8.625" style="54"/>
    <col min="11265" max="11265" width="6.75" style="54" customWidth="1"/>
    <col min="11266" max="11281" width="6" style="54" customWidth="1"/>
    <col min="11282" max="11282" width="8" style="54" customWidth="1"/>
    <col min="11283" max="11284" width="7.5" style="54" customWidth="1"/>
    <col min="11285" max="11520" width="8.625" style="54"/>
    <col min="11521" max="11521" width="6.75" style="54" customWidth="1"/>
    <col min="11522" max="11537" width="6" style="54" customWidth="1"/>
    <col min="11538" max="11538" width="8" style="54" customWidth="1"/>
    <col min="11539" max="11540" width="7.5" style="54" customWidth="1"/>
    <col min="11541" max="11776" width="8.625" style="54"/>
    <col min="11777" max="11777" width="6.75" style="54" customWidth="1"/>
    <col min="11778" max="11793" width="6" style="54" customWidth="1"/>
    <col min="11794" max="11794" width="8" style="54" customWidth="1"/>
    <col min="11795" max="11796" width="7.5" style="54" customWidth="1"/>
    <col min="11797" max="12032" width="8.625" style="54"/>
    <col min="12033" max="12033" width="6.75" style="54" customWidth="1"/>
    <col min="12034" max="12049" width="6" style="54" customWidth="1"/>
    <col min="12050" max="12050" width="8" style="54" customWidth="1"/>
    <col min="12051" max="12052" width="7.5" style="54" customWidth="1"/>
    <col min="12053" max="12288" width="8.625" style="54"/>
    <col min="12289" max="12289" width="6.75" style="54" customWidth="1"/>
    <col min="12290" max="12305" width="6" style="54" customWidth="1"/>
    <col min="12306" max="12306" width="8" style="54" customWidth="1"/>
    <col min="12307" max="12308" width="7.5" style="54" customWidth="1"/>
    <col min="12309" max="12544" width="8.625" style="54"/>
    <col min="12545" max="12545" width="6.75" style="54" customWidth="1"/>
    <col min="12546" max="12561" width="6" style="54" customWidth="1"/>
    <col min="12562" max="12562" width="8" style="54" customWidth="1"/>
    <col min="12563" max="12564" width="7.5" style="54" customWidth="1"/>
    <col min="12565" max="12800" width="8.625" style="54"/>
    <col min="12801" max="12801" width="6.75" style="54" customWidth="1"/>
    <col min="12802" max="12817" width="6" style="54" customWidth="1"/>
    <col min="12818" max="12818" width="8" style="54" customWidth="1"/>
    <col min="12819" max="12820" width="7.5" style="54" customWidth="1"/>
    <col min="12821" max="13056" width="8.625" style="54"/>
    <col min="13057" max="13057" width="6.75" style="54" customWidth="1"/>
    <col min="13058" max="13073" width="6" style="54" customWidth="1"/>
    <col min="13074" max="13074" width="8" style="54" customWidth="1"/>
    <col min="13075" max="13076" width="7.5" style="54" customWidth="1"/>
    <col min="13077" max="13312" width="8.625" style="54"/>
    <col min="13313" max="13313" width="6.75" style="54" customWidth="1"/>
    <col min="13314" max="13329" width="6" style="54" customWidth="1"/>
    <col min="13330" max="13330" width="8" style="54" customWidth="1"/>
    <col min="13331" max="13332" width="7.5" style="54" customWidth="1"/>
    <col min="13333" max="13568" width="8.625" style="54"/>
    <col min="13569" max="13569" width="6.75" style="54" customWidth="1"/>
    <col min="13570" max="13585" width="6" style="54" customWidth="1"/>
    <col min="13586" max="13586" width="8" style="54" customWidth="1"/>
    <col min="13587" max="13588" width="7.5" style="54" customWidth="1"/>
    <col min="13589" max="13824" width="8.625" style="54"/>
    <col min="13825" max="13825" width="6.75" style="54" customWidth="1"/>
    <col min="13826" max="13841" width="6" style="54" customWidth="1"/>
    <col min="13842" max="13842" width="8" style="54" customWidth="1"/>
    <col min="13843" max="13844" width="7.5" style="54" customWidth="1"/>
    <col min="13845" max="14080" width="8.625" style="54"/>
    <col min="14081" max="14081" width="6.75" style="54" customWidth="1"/>
    <col min="14082" max="14097" width="6" style="54" customWidth="1"/>
    <col min="14098" max="14098" width="8" style="54" customWidth="1"/>
    <col min="14099" max="14100" width="7.5" style="54" customWidth="1"/>
    <col min="14101" max="14336" width="8.625" style="54"/>
    <col min="14337" max="14337" width="6.75" style="54" customWidth="1"/>
    <col min="14338" max="14353" width="6" style="54" customWidth="1"/>
    <col min="14354" max="14354" width="8" style="54" customWidth="1"/>
    <col min="14355" max="14356" width="7.5" style="54" customWidth="1"/>
    <col min="14357" max="14592" width="8.625" style="54"/>
    <col min="14593" max="14593" width="6.75" style="54" customWidth="1"/>
    <col min="14594" max="14609" width="6" style="54" customWidth="1"/>
    <col min="14610" max="14610" width="8" style="54" customWidth="1"/>
    <col min="14611" max="14612" width="7.5" style="54" customWidth="1"/>
    <col min="14613" max="14848" width="8.625" style="54"/>
    <col min="14849" max="14849" width="6.75" style="54" customWidth="1"/>
    <col min="14850" max="14865" width="6" style="54" customWidth="1"/>
    <col min="14866" max="14866" width="8" style="54" customWidth="1"/>
    <col min="14867" max="14868" width="7.5" style="54" customWidth="1"/>
    <col min="14869" max="15104" width="8.625" style="54"/>
    <col min="15105" max="15105" width="6.75" style="54" customWidth="1"/>
    <col min="15106" max="15121" width="6" style="54" customWidth="1"/>
    <col min="15122" max="15122" width="8" style="54" customWidth="1"/>
    <col min="15123" max="15124" width="7.5" style="54" customWidth="1"/>
    <col min="15125" max="15360" width="8.625" style="54"/>
    <col min="15361" max="15361" width="6.75" style="54" customWidth="1"/>
    <col min="15362" max="15377" width="6" style="54" customWidth="1"/>
    <col min="15378" max="15378" width="8" style="54" customWidth="1"/>
    <col min="15379" max="15380" width="7.5" style="54" customWidth="1"/>
    <col min="15381" max="15616" width="8.625" style="54"/>
    <col min="15617" max="15617" width="6.75" style="54" customWidth="1"/>
    <col min="15618" max="15633" width="6" style="54" customWidth="1"/>
    <col min="15634" max="15634" width="8" style="54" customWidth="1"/>
    <col min="15635" max="15636" width="7.5" style="54" customWidth="1"/>
    <col min="15637" max="15872" width="8.625" style="54"/>
    <col min="15873" max="15873" width="6.75" style="54" customWidth="1"/>
    <col min="15874" max="15889" width="6" style="54" customWidth="1"/>
    <col min="15890" max="15890" width="8" style="54" customWidth="1"/>
    <col min="15891" max="15892" width="7.5" style="54" customWidth="1"/>
    <col min="15893" max="16128" width="8.625" style="54"/>
    <col min="16129" max="16129" width="6.75" style="54" customWidth="1"/>
    <col min="16130" max="16145" width="6" style="54" customWidth="1"/>
    <col min="16146" max="16146" width="8" style="54" customWidth="1"/>
    <col min="16147" max="16148" width="7.5" style="54" customWidth="1"/>
    <col min="16149" max="16384" width="8.625" style="54"/>
  </cols>
  <sheetData>
    <row r="1" spans="1:22" ht="27">
      <c r="G1" s="81" t="s">
        <v>49</v>
      </c>
    </row>
    <row r="2" spans="1:22" ht="24" customHeight="1">
      <c r="A2" s="136" t="str">
        <f>"2025년"&amp;[1]default!A1&amp;"월"</f>
        <v>2025년2월</v>
      </c>
      <c r="B2" s="136"/>
      <c r="C2" s="136"/>
      <c r="K2" s="80"/>
      <c r="M2" s="79"/>
      <c r="P2" s="78"/>
      <c r="Q2" s="137"/>
      <c r="R2" s="137"/>
      <c r="S2" s="137"/>
      <c r="T2" s="137"/>
    </row>
    <row r="3" spans="1:22" ht="20.100000000000001" customHeight="1" thickBot="1">
      <c r="A3" s="138" t="s">
        <v>48</v>
      </c>
      <c r="B3" s="139"/>
      <c r="C3" s="139" t="s">
        <v>50</v>
      </c>
      <c r="D3" s="139"/>
      <c r="E3" s="140"/>
      <c r="F3" s="138" t="s">
        <v>47</v>
      </c>
      <c r="G3" s="139"/>
      <c r="H3" s="139" t="s">
        <v>46</v>
      </c>
      <c r="I3" s="139"/>
      <c r="J3" s="140"/>
      <c r="K3" s="138" t="s">
        <v>45</v>
      </c>
      <c r="L3" s="139"/>
      <c r="M3" s="139" t="s">
        <v>44</v>
      </c>
      <c r="N3" s="140"/>
      <c r="O3" s="77" t="s">
        <v>43</v>
      </c>
      <c r="P3" s="76"/>
      <c r="Q3" s="75" t="str">
        <f>[2]안양역사복스케쥴!B1</f>
        <v xml:space="preserve">안양역  </v>
      </c>
      <c r="R3" s="74" t="s">
        <v>1</v>
      </c>
      <c r="S3" s="141" t="s">
        <v>42</v>
      </c>
      <c r="T3" s="142"/>
    </row>
    <row r="4" spans="1:22" ht="24" customHeight="1" thickTop="1">
      <c r="A4" s="56" t="s">
        <v>37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143" t="s">
        <v>41</v>
      </c>
      <c r="S4" s="144"/>
      <c r="T4" s="73">
        <v>29</v>
      </c>
      <c r="V4" s="72"/>
    </row>
    <row r="5" spans="1:22" ht="24" customHeight="1">
      <c r="A5" s="55" t="s">
        <v>35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145"/>
      <c r="S5" s="146"/>
      <c r="T5" s="71"/>
    </row>
    <row r="6" spans="1:22" ht="24" customHeight="1">
      <c r="A6" s="64" t="s">
        <v>33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147" t="s">
        <v>40</v>
      </c>
      <c r="S6" s="148"/>
      <c r="T6" s="70"/>
    </row>
    <row r="7" spans="1:22" ht="28.5" customHeight="1">
      <c r="A7" s="69" t="s">
        <v>39</v>
      </c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0"/>
      <c r="R7" s="149" t="s">
        <v>38</v>
      </c>
      <c r="S7" s="150"/>
      <c r="T7" s="68"/>
      <c r="V7" s="67"/>
    </row>
    <row r="8" spans="1:22" ht="32.25" customHeight="1">
      <c r="A8" s="55" t="s">
        <v>29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0"/>
      <c r="R8" s="151"/>
      <c r="S8" s="152"/>
      <c r="T8" s="153"/>
    </row>
    <row r="9" spans="1:22" ht="24" customHeight="1">
      <c r="A9" s="55" t="s">
        <v>37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134" t="s">
        <v>36</v>
      </c>
      <c r="S9" s="135"/>
      <c r="T9" s="66"/>
    </row>
    <row r="10" spans="1:22" ht="24" customHeight="1">
      <c r="A10" s="55" t="s">
        <v>35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130" t="s">
        <v>34</v>
      </c>
      <c r="S10" s="131"/>
      <c r="T10" s="65"/>
    </row>
    <row r="11" spans="1:22" ht="24" customHeight="1">
      <c r="A11" s="64" t="s">
        <v>33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2" t="s">
        <v>32</v>
      </c>
      <c r="S11" s="132"/>
      <c r="T11" s="118"/>
    </row>
    <row r="12" spans="1:22" ht="28.5" customHeight="1">
      <c r="A12" s="55" t="s">
        <v>31</v>
      </c>
      <c r="B12" s="60"/>
      <c r="C12" s="60"/>
      <c r="D12" s="60"/>
      <c r="E12" s="60"/>
      <c r="F12" s="60"/>
      <c r="G12" s="60"/>
      <c r="H12" s="60"/>
      <c r="I12" s="60"/>
      <c r="J12" s="60"/>
      <c r="K12" s="61"/>
      <c r="L12" s="61"/>
      <c r="M12" s="61"/>
      <c r="N12" s="61"/>
      <c r="O12" s="61"/>
      <c r="P12" s="61"/>
      <c r="Q12" s="61"/>
      <c r="R12" s="59" t="s">
        <v>30</v>
      </c>
      <c r="S12" s="133"/>
      <c r="T12" s="112"/>
    </row>
    <row r="13" spans="1:22" ht="26.25" customHeight="1">
      <c r="A13" s="120" t="s">
        <v>29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0"/>
      <c r="L13" s="120"/>
      <c r="M13" s="120"/>
      <c r="N13" s="120"/>
      <c r="O13" s="120"/>
      <c r="P13" s="120"/>
      <c r="Q13" s="120"/>
      <c r="R13" s="58" t="s">
        <v>28</v>
      </c>
      <c r="S13" s="128"/>
      <c r="T13" s="129"/>
    </row>
    <row r="14" spans="1:22" ht="13.5" hidden="1" customHeight="1">
      <c r="A14" s="121"/>
      <c r="B14" s="127"/>
      <c r="C14" s="127"/>
      <c r="D14" s="127"/>
      <c r="E14" s="127"/>
      <c r="F14" s="127"/>
      <c r="G14" s="127"/>
      <c r="H14" s="127"/>
      <c r="I14" s="127"/>
      <c r="J14" s="127"/>
      <c r="K14" s="121"/>
      <c r="L14" s="121"/>
      <c r="M14" s="121"/>
      <c r="N14" s="121"/>
      <c r="O14" s="121"/>
      <c r="P14" s="121"/>
      <c r="Q14" s="121"/>
      <c r="R14" s="57"/>
      <c r="S14" s="57"/>
      <c r="T14" s="57"/>
    </row>
    <row r="15" spans="1:22" ht="26.25" customHeight="1">
      <c r="A15" s="125" t="s">
        <v>27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</row>
    <row r="16" spans="1:22">
      <c r="A16" s="120" t="s">
        <v>26</v>
      </c>
      <c r="B16" s="120"/>
      <c r="C16" s="120" t="s">
        <v>25</v>
      </c>
      <c r="D16" s="120"/>
      <c r="E16" s="120"/>
      <c r="F16" s="120"/>
      <c r="G16" s="120"/>
      <c r="H16" s="120" t="s">
        <v>24</v>
      </c>
      <c r="I16" s="120"/>
      <c r="J16" s="120"/>
      <c r="K16" s="120"/>
      <c r="L16" s="120"/>
      <c r="M16" s="120"/>
      <c r="N16" s="120"/>
      <c r="O16" s="122" t="s">
        <v>23</v>
      </c>
      <c r="P16" s="122"/>
      <c r="Q16" s="122"/>
      <c r="R16" s="123"/>
      <c r="S16" s="124" t="s">
        <v>22</v>
      </c>
      <c r="T16" s="124"/>
    </row>
    <row r="17" spans="1:20">
      <c r="A17" s="121"/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3" t="s">
        <v>21</v>
      </c>
      <c r="P17" s="124"/>
      <c r="Q17" s="124" t="s">
        <v>20</v>
      </c>
      <c r="R17" s="124"/>
      <c r="S17" s="124"/>
      <c r="T17" s="124"/>
    </row>
    <row r="18" spans="1:20" ht="29.1" customHeight="1">
      <c r="A18" s="115"/>
      <c r="B18" s="115"/>
      <c r="C18" s="116"/>
      <c r="D18" s="116"/>
      <c r="E18" s="116"/>
      <c r="F18" s="116"/>
      <c r="G18" s="116"/>
      <c r="H18" s="117"/>
      <c r="I18" s="117"/>
      <c r="J18" s="117"/>
      <c r="K18" s="117"/>
      <c r="L18" s="117"/>
      <c r="M18" s="117"/>
      <c r="N18" s="117"/>
      <c r="O18" s="118"/>
      <c r="P18" s="119"/>
      <c r="Q18" s="119"/>
      <c r="R18" s="119"/>
      <c r="S18" s="119"/>
      <c r="T18" s="119"/>
    </row>
    <row r="19" spans="1:20" ht="29.1" customHeight="1">
      <c r="A19" s="110"/>
      <c r="B19" s="110"/>
      <c r="C19" s="111"/>
      <c r="D19" s="111"/>
      <c r="E19" s="111"/>
      <c r="F19" s="111"/>
      <c r="G19" s="111"/>
      <c r="H19" s="110"/>
      <c r="I19" s="110"/>
      <c r="J19" s="110"/>
      <c r="K19" s="110"/>
      <c r="L19" s="110"/>
      <c r="M19" s="110"/>
      <c r="N19" s="110"/>
      <c r="O19" s="112"/>
      <c r="P19" s="110"/>
      <c r="Q19" s="110"/>
      <c r="R19" s="110"/>
      <c r="S19" s="110"/>
      <c r="T19" s="110"/>
    </row>
    <row r="20" spans="1:20" ht="29.1" customHeight="1">
      <c r="A20" s="110"/>
      <c r="B20" s="110"/>
      <c r="C20" s="111"/>
      <c r="D20" s="111"/>
      <c r="E20" s="111"/>
      <c r="F20" s="111"/>
      <c r="G20" s="111"/>
      <c r="H20" s="110"/>
      <c r="I20" s="110"/>
      <c r="J20" s="110"/>
      <c r="K20" s="110"/>
      <c r="L20" s="110"/>
      <c r="M20" s="110"/>
      <c r="N20" s="110"/>
      <c r="O20" s="112"/>
      <c r="P20" s="110"/>
      <c r="Q20" s="110"/>
      <c r="R20" s="110"/>
      <c r="S20" s="110"/>
      <c r="T20" s="110"/>
    </row>
    <row r="21" spans="1:20" ht="29.1" customHeight="1">
      <c r="A21" s="109"/>
      <c r="B21" s="109"/>
      <c r="C21" s="113"/>
      <c r="D21" s="113"/>
      <c r="E21" s="113"/>
      <c r="F21" s="113"/>
      <c r="G21" s="113"/>
      <c r="H21" s="109"/>
      <c r="I21" s="109"/>
      <c r="J21" s="109"/>
      <c r="K21" s="109"/>
      <c r="L21" s="109"/>
      <c r="M21" s="109"/>
      <c r="N21" s="109"/>
      <c r="O21" s="114"/>
      <c r="P21" s="109"/>
      <c r="Q21" s="109"/>
      <c r="R21" s="109"/>
      <c r="S21" s="109"/>
      <c r="T21" s="109"/>
    </row>
  </sheetData>
  <mergeCells count="68">
    <mergeCell ref="S21:T21"/>
    <mergeCell ref="A20:B20"/>
    <mergeCell ref="C20:G20"/>
    <mergeCell ref="H20:N20"/>
    <mergeCell ref="O20:P20"/>
    <mergeCell ref="Q20:R20"/>
    <mergeCell ref="S20:T20"/>
    <mergeCell ref="A21:B21"/>
    <mergeCell ref="C21:G21"/>
    <mergeCell ref="H21:N21"/>
    <mergeCell ref="O21:P21"/>
    <mergeCell ref="Q21:R21"/>
    <mergeCell ref="S19:T19"/>
    <mergeCell ref="A18:B18"/>
    <mergeCell ref="C18:G18"/>
    <mergeCell ref="H18:N18"/>
    <mergeCell ref="O18:P18"/>
    <mergeCell ref="Q18:R18"/>
    <mergeCell ref="S18:T18"/>
    <mergeCell ref="A19:B19"/>
    <mergeCell ref="C19:G19"/>
    <mergeCell ref="H19:N19"/>
    <mergeCell ref="O19:P19"/>
    <mergeCell ref="Q19:R19"/>
    <mergeCell ref="A16:B17"/>
    <mergeCell ref="C16:G17"/>
    <mergeCell ref="H16:N17"/>
    <mergeCell ref="O16:R16"/>
    <mergeCell ref="S16:T17"/>
    <mergeCell ref="O17:P17"/>
    <mergeCell ref="Q17:R17"/>
    <mergeCell ref="A15:T15"/>
    <mergeCell ref="H13:H14"/>
    <mergeCell ref="I13:I14"/>
    <mergeCell ref="J13:J14"/>
    <mergeCell ref="K13:K14"/>
    <mergeCell ref="L13:L14"/>
    <mergeCell ref="M13:M14"/>
    <mergeCell ref="N13:N14"/>
    <mergeCell ref="O13:O14"/>
    <mergeCell ref="P13:P14"/>
    <mergeCell ref="Q13:Q14"/>
    <mergeCell ref="S13:T13"/>
    <mergeCell ref="R10:S10"/>
    <mergeCell ref="S11:T11"/>
    <mergeCell ref="S12:T12"/>
    <mergeCell ref="A13:A14"/>
    <mergeCell ref="B13:B14"/>
    <mergeCell ref="C13:C14"/>
    <mergeCell ref="D13:D14"/>
    <mergeCell ref="E13:E14"/>
    <mergeCell ref="F13:F14"/>
    <mergeCell ref="G13:G14"/>
    <mergeCell ref="R9:S9"/>
    <mergeCell ref="A2:C2"/>
    <mergeCell ref="Q2:T2"/>
    <mergeCell ref="A3:B3"/>
    <mergeCell ref="C3:E3"/>
    <mergeCell ref="F3:G3"/>
    <mergeCell ref="H3:J3"/>
    <mergeCell ref="K3:L3"/>
    <mergeCell ref="M3:N3"/>
    <mergeCell ref="S3:T3"/>
    <mergeCell ref="R4:S4"/>
    <mergeCell ref="R5:S5"/>
    <mergeCell ref="R6:S6"/>
    <mergeCell ref="R7:S7"/>
    <mergeCell ref="R8:T8"/>
  </mergeCells>
  <phoneticPr fontId="19" type="noConversion"/>
  <conditionalFormatting sqref="B6:Q6">
    <cfRule type="cellIs" dxfId="9" priority="7" operator="equal">
      <formula>"연"</formula>
    </cfRule>
    <cfRule type="cellIs" dxfId="8" priority="8" operator="equal">
      <formula>"연"</formula>
    </cfRule>
    <cfRule type="cellIs" dxfId="7" priority="9" operator="equal">
      <formula>"야"</formula>
    </cfRule>
    <cfRule type="cellIs" dxfId="6" priority="10" operator="equal">
      <formula>"휴"</formula>
    </cfRule>
  </conditionalFormatting>
  <conditionalFormatting sqref="B10:Q10">
    <cfRule type="cellIs" dxfId="5" priority="1" operator="equal">
      <formula>"연"</formula>
    </cfRule>
  </conditionalFormatting>
  <conditionalFormatting sqref="B11:Q11">
    <cfRule type="cellIs" dxfId="4" priority="3" operator="equal">
      <formula>"연"</formula>
    </cfRule>
    <cfRule type="cellIs" dxfId="3" priority="4" operator="equal">
      <formula>"연"</formula>
    </cfRule>
    <cfRule type="cellIs" dxfId="2" priority="5" operator="equal">
      <formula>"야"</formula>
    </cfRule>
    <cfRule type="cellIs" dxfId="1" priority="6" operator="equal">
      <formula>"휴"</formula>
    </cfRule>
  </conditionalFormatting>
  <conditionalFormatting sqref="C5:Q5">
    <cfRule type="cellIs" dxfId="0" priority="2" operator="equal">
      <formula>"연"</formula>
    </cfRule>
  </conditionalFormatting>
  <pageMargins left="0.69972223043441772" right="0.69972223043441772" top="0.75" bottom="0.75" header="0.30000001192092896" footer="0.30000001192092896"/>
  <pageSetup paperSize="9" scale="96" orientation="landscape" horizontalDpi="429496729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4DC76-280D-490D-9247-4C6C3AC6EAB5}">
  <dimension ref="A1"/>
  <sheetViews>
    <sheetView workbookViewId="0">
      <selection activeCell="D6" sqref="D6"/>
    </sheetView>
  </sheetViews>
  <sheetFormatPr defaultRowHeight="16.5"/>
  <sheetData/>
  <phoneticPr fontId="19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topLeftCell="J1"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zoomScaleNormal="100" workbookViewId="0">
      <selection activeCell="D6" sqref="D6"/>
    </sheetView>
  </sheetViews>
  <sheetFormatPr defaultRowHeight="16.5" customHeight="1"/>
  <sheetData/>
  <phoneticPr fontId="19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</vt:i4>
      </vt:variant>
      <vt:variant>
        <vt:lpstr>이름 지정된 범위</vt:lpstr>
      </vt:variant>
      <vt:variant>
        <vt:i4>1</vt:i4>
      </vt:variant>
    </vt:vector>
  </HeadingPairs>
  <TitlesOfParts>
    <vt:vector size="30" baseType="lpstr">
      <vt:lpstr>시간표</vt:lpstr>
      <vt:lpstr>aloneCount</vt:lpstr>
      <vt:lpstr>selectedDay</vt:lpstr>
      <vt:lpstr>selectedNight</vt:lpstr>
      <vt:lpstr>worker0</vt:lpstr>
      <vt:lpstr>worker1</vt:lpstr>
      <vt:lpstr>worker2</vt:lpstr>
      <vt:lpstr>worker3</vt:lpstr>
      <vt:lpstr>worker4</vt:lpstr>
      <vt:lpstr>worker5</vt:lpstr>
      <vt:lpstr>worker6</vt:lpstr>
      <vt:lpstr>worker7</vt:lpstr>
      <vt:lpstr>worker8</vt:lpstr>
      <vt:lpstr>worker9</vt:lpstr>
      <vt:lpstr>worker10</vt:lpstr>
      <vt:lpstr>worker11</vt:lpstr>
      <vt:lpstr>worker12</vt:lpstr>
      <vt:lpstr>worker13</vt:lpstr>
      <vt:lpstr>worker14</vt:lpstr>
      <vt:lpstr>default</vt:lpstr>
      <vt:lpstr>worker</vt:lpstr>
      <vt:lpstr>schedule</vt:lpstr>
      <vt:lpstr>nightWorkCount</vt:lpstr>
      <vt:lpstr>groupCount</vt:lpstr>
      <vt:lpstr>totalSchedule</vt:lpstr>
      <vt:lpstr>dayWorkCount</vt:lpstr>
      <vt:lpstr>dayGroupCount</vt:lpstr>
      <vt:lpstr>nightGroupCount</vt:lpstr>
      <vt:lpstr>base</vt:lpstr>
      <vt:lpstr>시간표!Print_Area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2021-07-26T06:12:24Z</dcterms:created>
  <dcterms:modified xsi:type="dcterms:W3CDTF">2025-12-19T08:31:07Z</dcterms:modified>
  <cp:category/>
  <cp:contentStatus/>
</cp:coreProperties>
</file>